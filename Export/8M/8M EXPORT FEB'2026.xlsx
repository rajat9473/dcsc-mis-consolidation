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 01-15" sheetId="1" state="visible" r:id="rId3"/>
    <sheet name="SC 01-15" sheetId="2" state="visible" r:id="rId4"/>
    <sheet name="DEM 01-15" sheetId="3" state="visible" r:id="rId5"/>
    <sheet name="CERTIFICATION 01-15" sheetId="4" state="visible" r:id="rId6"/>
    <sheet name="OFFLOADING 01-15" sheetId="5" state="visible" r:id="rId7"/>
    <sheet name="RATES" sheetId="6" state="visible" r:id="rId8"/>
    <sheet name="ANNEX 16-28" sheetId="7" state="visible" r:id="rId9"/>
    <sheet name="SC 16-28" sheetId="8" state="visible" r:id="rId10"/>
    <sheet name="DEM 16-28" sheetId="9" state="visible" r:id="rId11"/>
    <sheet name="CERTIFICATION 16-28" sheetId="10" state="visible" r:id="rId12"/>
    <sheet name="OFFLOADING 16-28" sheetId="11" state="visible" r:id="rId13"/>
    <sheet name="Trnsfr 2 oth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<sst xmlns="http://schemas.openxmlformats.org/spreadsheetml/2006/main" count="3166" uniqueCount="1016">
  <si>
    <t xml:space="preserve">FLT NO.</t>
  </si>
  <si>
    <t xml:space="preserve">FLT DATE</t>
  </si>
  <si>
    <t xml:space="preserve">AWB NO</t>
  </si>
  <si>
    <t xml:space="preserve">SFX</t>
  </si>
  <si>
    <t xml:space="preserve">ORG</t>
  </si>
  <si>
    <t xml:space="preserve">DEST</t>
  </si>
  <si>
    <t xml:space="preserve">PCS</t>
  </si>
  <si>
    <t xml:space="preserve">GRS Wg</t>
  </si>
  <si>
    <t xml:space="preserve">CHG WGT</t>
  </si>
  <si>
    <t xml:space="preserve">CAR DATE</t>
  </si>
  <si>
    <t xml:space="preserve">CAR TIME</t>
  </si>
  <si>
    <t xml:space="preserve">DOC DATE</t>
  </si>
  <si>
    <t xml:space="preserve">DOC TIME</t>
  </si>
  <si>
    <t xml:space="preserve">RCS DATE</t>
  </si>
  <si>
    <t xml:space="preserve">RCS TIME</t>
  </si>
  <si>
    <t xml:space="preserve">ULD No.</t>
  </si>
  <si>
    <t xml:space="preserve">ULD RELEASE DATE</t>
  </si>
  <si>
    <t xml:space="preserve">ULD TIME</t>
  </si>
  <si>
    <t xml:space="preserve">NOG</t>
  </si>
  <si>
    <t xml:space="preserve">SHC</t>
  </si>
  <si>
    <t xml:space="preserve">CHG</t>
  </si>
  <si>
    <t xml:space="preserve">BILLING SHC</t>
  </si>
  <si>
    <t xml:space="preserve">FREE DAYS</t>
  </si>
  <si>
    <t xml:space="preserve">HOURS</t>
  </si>
  <si>
    <t xml:space="preserve">DEM DAYS</t>
  </si>
  <si>
    <t xml:space="preserve">DEM RATES</t>
  </si>
  <si>
    <t xml:space="preserve">AMNT</t>
  </si>
  <si>
    <t xml:space="preserve">AMNT +GST</t>
  </si>
  <si>
    <t xml:space="preserve">FLIGHT CHECK</t>
  </si>
  <si>
    <t xml:space="preserve">8M0820</t>
  </si>
  <si>
    <t xml:space="preserve">770-80863317</t>
  </si>
  <si>
    <t xml:space="preserve">P</t>
  </si>
  <si>
    <t xml:space="preserve">DEL</t>
  </si>
  <si>
    <t xml:space="preserve">RGN</t>
  </si>
  <si>
    <t xml:space="preserve">13:49:00</t>
  </si>
  <si>
    <t xml:space="preserve">23:43:00</t>
  </si>
  <si>
    <t xml:space="preserve">14:25:00</t>
  </si>
  <si>
    <t xml:space="preserve">PMC991498M</t>
  </si>
  <si>
    <t xml:space="preserve">09:12:00</t>
  </si>
  <si>
    <t xml:space="preserve">MEDICINE</t>
  </si>
  <si>
    <t xml:space="preserve">GEN</t>
  </si>
  <si>
    <t xml:space="preserve">770-16559321</t>
  </si>
  <si>
    <t xml:space="preserve">14:42:00</t>
  </si>
  <si>
    <t xml:space="preserve">05:43:00</t>
  </si>
  <si>
    <t xml:space="preserve">17:21:00</t>
  </si>
  <si>
    <t xml:space="preserve">PMC830868M</t>
  </si>
  <si>
    <t xml:space="preserve">05:13:00</t>
  </si>
  <si>
    <t xml:space="preserve">LEATHER GOODS</t>
  </si>
  <si>
    <t xml:space="preserve">770-76062833</t>
  </si>
  <si>
    <t xml:space="preserve">22:13:00</t>
  </si>
  <si>
    <t xml:space="preserve">15:29:00</t>
  </si>
  <si>
    <t xml:space="preserve">12:28:00</t>
  </si>
  <si>
    <t xml:space="preserve">BT3319**</t>
  </si>
  <si>
    <t xml:space="preserve">09:23:00</t>
  </si>
  <si>
    <t xml:space="preserve">AUTO PARTS</t>
  </si>
  <si>
    <t xml:space="preserve">770-42851178</t>
  </si>
  <si>
    <t xml:space="preserve">11:04:00</t>
  </si>
  <si>
    <t xml:space="preserve">09:30:00</t>
  </si>
  <si>
    <t xml:space="preserve">11:29:00</t>
  </si>
  <si>
    <t xml:space="preserve">PMC942378M</t>
  </si>
  <si>
    <t xml:space="preserve">02:00:00</t>
  </si>
  <si>
    <t xml:space="preserve">HANDICRAFTS</t>
  </si>
  <si>
    <t xml:space="preserve">8M0844</t>
  </si>
  <si>
    <t xml:space="preserve">770-96151432</t>
  </si>
  <si>
    <t xml:space="preserve">11:14:00</t>
  </si>
  <si>
    <t xml:space="preserve">00:46:00</t>
  </si>
  <si>
    <t xml:space="preserve">22:54:00</t>
  </si>
  <si>
    <t xml:space="preserve">BT4033**</t>
  </si>
  <si>
    <t xml:space="preserve">11:57:00</t>
  </si>
  <si>
    <t xml:space="preserve">MACHINERY PARTS</t>
  </si>
  <si>
    <t xml:space="preserve">770-46655704</t>
  </si>
  <si>
    <t xml:space="preserve">14:20:00</t>
  </si>
  <si>
    <t xml:space="preserve">10:08:00</t>
  </si>
  <si>
    <t xml:space="preserve">03:56:00</t>
  </si>
  <si>
    <t xml:space="preserve">BT7239**</t>
  </si>
  <si>
    <t xml:space="preserve">12:19:00</t>
  </si>
  <si>
    <t xml:space="preserve">770-23143087</t>
  </si>
  <si>
    <t xml:space="preserve">11:42:00</t>
  </si>
  <si>
    <t xml:space="preserve">08:35:00</t>
  </si>
  <si>
    <t xml:space="preserve">19:04:00</t>
  </si>
  <si>
    <t xml:space="preserve">BT1464**</t>
  </si>
  <si>
    <t xml:space="preserve">00:20:00</t>
  </si>
  <si>
    <t xml:space="preserve">DGR</t>
  </si>
  <si>
    <t xml:space="preserve">770-57615412</t>
  </si>
  <si>
    <t xml:space="preserve">A</t>
  </si>
  <si>
    <t xml:space="preserve">11:38:00</t>
  </si>
  <si>
    <t xml:space="preserve">15:11:00</t>
  </si>
  <si>
    <t xml:space="preserve">00:10:00</t>
  </si>
  <si>
    <t xml:space="preserve">PMC143248M</t>
  </si>
  <si>
    <t xml:space="preserve">06:48:00</t>
  </si>
  <si>
    <t xml:space="preserve">TRM</t>
  </si>
  <si>
    <t xml:space="preserve">770-42017170</t>
  </si>
  <si>
    <t xml:space="preserve">10:27:00</t>
  </si>
  <si>
    <t xml:space="preserve">07:24:00</t>
  </si>
  <si>
    <t xml:space="preserve">15:57:00</t>
  </si>
  <si>
    <t xml:space="preserve">PMC832168M</t>
  </si>
  <si>
    <t xml:space="preserve">04:02:00</t>
  </si>
  <si>
    <t xml:space="preserve">770-91954356</t>
  </si>
  <si>
    <t xml:space="preserve">18:23:00</t>
  </si>
  <si>
    <t xml:space="preserve">11:56:00</t>
  </si>
  <si>
    <t xml:space="preserve">04:00:00</t>
  </si>
  <si>
    <t xml:space="preserve">BT2276**</t>
  </si>
  <si>
    <t xml:space="preserve">12:10:00</t>
  </si>
  <si>
    <t xml:space="preserve">770-53863982</t>
  </si>
  <si>
    <t xml:space="preserve">13:41:00</t>
  </si>
  <si>
    <t xml:space="preserve">17:26:00</t>
  </si>
  <si>
    <t xml:space="preserve">18:31:00</t>
  </si>
  <si>
    <t xml:space="preserve">BT2437**</t>
  </si>
  <si>
    <t xml:space="preserve">09:08:00</t>
  </si>
  <si>
    <t xml:space="preserve">CONSOL SHIPMENT</t>
  </si>
  <si>
    <t xml:space="preserve">770-29164987</t>
  </si>
  <si>
    <t xml:space="preserve">19:58:00</t>
  </si>
  <si>
    <t xml:space="preserve">23:00:00</t>
  </si>
  <si>
    <t xml:space="preserve">PMC901958M</t>
  </si>
  <si>
    <t xml:space="preserve">12:24:00</t>
  </si>
  <si>
    <t xml:space="preserve">MOBILE PHONES</t>
  </si>
  <si>
    <t xml:space="preserve">770-42693045</t>
  </si>
  <si>
    <t xml:space="preserve">12:15:00</t>
  </si>
  <si>
    <t xml:space="preserve">18:38:00</t>
  </si>
  <si>
    <t xml:space="preserve">20:39:00</t>
  </si>
  <si>
    <t xml:space="preserve">PMC986038M</t>
  </si>
  <si>
    <t xml:space="preserve">00:24:00</t>
  </si>
  <si>
    <t xml:space="preserve">TEXTILES</t>
  </si>
  <si>
    <t xml:space="preserve">770-40851845</t>
  </si>
  <si>
    <t xml:space="preserve">17:03:00</t>
  </si>
  <si>
    <t xml:space="preserve">20:05:00</t>
  </si>
  <si>
    <t xml:space="preserve">11:36:00</t>
  </si>
  <si>
    <t xml:space="preserve">PMC714438M</t>
  </si>
  <si>
    <t xml:space="preserve">10:41:00</t>
  </si>
  <si>
    <t xml:space="preserve">PER</t>
  </si>
  <si>
    <t xml:space="preserve">770-33581263</t>
  </si>
  <si>
    <t xml:space="preserve">16:51:00</t>
  </si>
  <si>
    <t xml:space="preserve">18:02:00</t>
  </si>
  <si>
    <t xml:space="preserve">21:45:00</t>
  </si>
  <si>
    <t xml:space="preserve">BT2934**</t>
  </si>
  <si>
    <t xml:space="preserve">00:45:00</t>
  </si>
  <si>
    <t xml:space="preserve">SURGICAL GOODS</t>
  </si>
  <si>
    <t xml:space="preserve">770-87331546</t>
  </si>
  <si>
    <t xml:space="preserve">14:15:00</t>
  </si>
  <si>
    <t xml:space="preserve">08:21:00</t>
  </si>
  <si>
    <t xml:space="preserve">04:20:00</t>
  </si>
  <si>
    <t xml:space="preserve">BT8529**</t>
  </si>
  <si>
    <t xml:space="preserve">SPICES</t>
  </si>
  <si>
    <t xml:space="preserve">770-75312503</t>
  </si>
  <si>
    <t xml:space="preserve">15:37:00</t>
  </si>
  <si>
    <t xml:space="preserve">19:52:00</t>
  </si>
  <si>
    <t xml:space="preserve">08:47:00</t>
  </si>
  <si>
    <t xml:space="preserve">PMC910488M</t>
  </si>
  <si>
    <t xml:space="preserve">08:42:00</t>
  </si>
  <si>
    <t xml:space="preserve">PERISHABLE FOOD</t>
  </si>
  <si>
    <t xml:space="preserve">770-33390712</t>
  </si>
  <si>
    <t xml:space="preserve">20:03:00</t>
  </si>
  <si>
    <t xml:space="preserve">00:26:00</t>
  </si>
  <si>
    <t xml:space="preserve">PMC608138M</t>
  </si>
  <si>
    <t xml:space="preserve">01:23:00</t>
  </si>
  <si>
    <t xml:space="preserve">PHARMACEUTICALS</t>
  </si>
  <si>
    <t xml:space="preserve">770-14599561</t>
  </si>
  <si>
    <t xml:space="preserve">20:18:00</t>
  </si>
  <si>
    <t xml:space="preserve">09:55:00</t>
  </si>
  <si>
    <t xml:space="preserve">03:57:00</t>
  </si>
  <si>
    <t xml:space="preserve">PMC494958M</t>
  </si>
  <si>
    <t xml:space="preserve">02:21:00</t>
  </si>
  <si>
    <t xml:space="preserve">770-53510136</t>
  </si>
  <si>
    <t xml:space="preserve">18:00:00</t>
  </si>
  <si>
    <t xml:space="preserve">07:26:00</t>
  </si>
  <si>
    <t xml:space="preserve">02:58:00</t>
  </si>
  <si>
    <t xml:space="preserve">PMC563838M</t>
  </si>
  <si>
    <t xml:space="preserve">09:47:00</t>
  </si>
  <si>
    <t xml:space="preserve">770-89909757</t>
  </si>
  <si>
    <t xml:space="preserve">17:09:00</t>
  </si>
  <si>
    <t xml:space="preserve">13:37:00</t>
  </si>
  <si>
    <t xml:space="preserve">PMC992268M</t>
  </si>
  <si>
    <t xml:space="preserve">08:37:00</t>
  </si>
  <si>
    <t xml:space="preserve">770-11214009</t>
  </si>
  <si>
    <t xml:space="preserve">17:44:00</t>
  </si>
  <si>
    <t xml:space="preserve">07:31:00</t>
  </si>
  <si>
    <t xml:space="preserve">00:42:00</t>
  </si>
  <si>
    <t xml:space="preserve">PMC330728M</t>
  </si>
  <si>
    <t xml:space="preserve">01:04:00</t>
  </si>
  <si>
    <t xml:space="preserve">SHOES</t>
  </si>
  <si>
    <t xml:space="preserve">770-41553424</t>
  </si>
  <si>
    <t xml:space="preserve">14:18:00</t>
  </si>
  <si>
    <t xml:space="preserve">06:24:00</t>
  </si>
  <si>
    <t xml:space="preserve">22:31:00</t>
  </si>
  <si>
    <t xml:space="preserve">PMC577828M</t>
  </si>
  <si>
    <t xml:space="preserve">08:08:00</t>
  </si>
  <si>
    <t xml:space="preserve">770-43548945</t>
  </si>
  <si>
    <t xml:space="preserve">08:18:00</t>
  </si>
  <si>
    <t xml:space="preserve">16:45:00</t>
  </si>
  <si>
    <t xml:space="preserve">01:48:00</t>
  </si>
  <si>
    <t xml:space="preserve">PMC993518M</t>
  </si>
  <si>
    <t xml:space="preserve">08:43:00</t>
  </si>
  <si>
    <t xml:space="preserve">770-50227661</t>
  </si>
  <si>
    <t xml:space="preserve">08:29:00</t>
  </si>
  <si>
    <t xml:space="preserve">18:11:00</t>
  </si>
  <si>
    <t xml:space="preserve">04:11:00</t>
  </si>
  <si>
    <t xml:space="preserve">PMC749138M</t>
  </si>
  <si>
    <t xml:space="preserve">04:22:00</t>
  </si>
  <si>
    <t xml:space="preserve">770-95651788</t>
  </si>
  <si>
    <t xml:space="preserve">17:49:00</t>
  </si>
  <si>
    <t xml:space="preserve">09:54:00</t>
  </si>
  <si>
    <t xml:space="preserve">13:30:00</t>
  </si>
  <si>
    <t xml:space="preserve">PMC640838M</t>
  </si>
  <si>
    <t xml:space="preserve">770-64564205</t>
  </si>
  <si>
    <t xml:space="preserve">PMC839708M</t>
  </si>
  <si>
    <t xml:space="preserve">07:05:00</t>
  </si>
  <si>
    <t xml:space="preserve">770-80273434</t>
  </si>
  <si>
    <t xml:space="preserve">17:34:00</t>
  </si>
  <si>
    <t xml:space="preserve">06:14:00</t>
  </si>
  <si>
    <t xml:space="preserve">19:14:00</t>
  </si>
  <si>
    <t xml:space="preserve">PMC583648M</t>
  </si>
  <si>
    <t xml:space="preserve">770-14336104</t>
  </si>
  <si>
    <t xml:space="preserve">08:00:00</t>
  </si>
  <si>
    <t xml:space="preserve">13:54:00</t>
  </si>
  <si>
    <t xml:space="preserve">12:34:00</t>
  </si>
  <si>
    <t xml:space="preserve">PMC938358M</t>
  </si>
  <si>
    <t xml:space="preserve">07:20:00</t>
  </si>
  <si>
    <t xml:space="preserve">770-43721305</t>
  </si>
  <si>
    <t xml:space="preserve">11:47:00</t>
  </si>
  <si>
    <t xml:space="preserve">16:44:00</t>
  </si>
  <si>
    <t xml:space="preserve">11:12:00</t>
  </si>
  <si>
    <t xml:space="preserve">PMC448448M</t>
  </si>
  <si>
    <t xml:space="preserve">10:46:00</t>
  </si>
  <si>
    <t xml:space="preserve">770-64642452</t>
  </si>
  <si>
    <t xml:space="preserve">14:13:00</t>
  </si>
  <si>
    <t xml:space="preserve">17:30:00</t>
  </si>
  <si>
    <t xml:space="preserve">20:53:00</t>
  </si>
  <si>
    <t xml:space="preserve">PMC248948M</t>
  </si>
  <si>
    <t xml:space="preserve">02:08:00</t>
  </si>
  <si>
    <t xml:space="preserve">770-65816052</t>
  </si>
  <si>
    <t xml:space="preserve">22:38:00</t>
  </si>
  <si>
    <t xml:space="preserve">04:07:00</t>
  </si>
  <si>
    <t xml:space="preserve">03:03:00</t>
  </si>
  <si>
    <t xml:space="preserve">BT8433**</t>
  </si>
  <si>
    <t xml:space="preserve">02:47:00</t>
  </si>
  <si>
    <t xml:space="preserve">770-69739143</t>
  </si>
  <si>
    <t xml:space="preserve">10:20:00</t>
  </si>
  <si>
    <t xml:space="preserve">17:45:00</t>
  </si>
  <si>
    <t xml:space="preserve">23:59:00</t>
  </si>
  <si>
    <t xml:space="preserve">PMC696668M</t>
  </si>
  <si>
    <t xml:space="preserve">10:32:00</t>
  </si>
  <si>
    <t xml:space="preserve">ELECTRONICS</t>
  </si>
  <si>
    <t xml:space="preserve">770-80505438</t>
  </si>
  <si>
    <t xml:space="preserve">19:10:00</t>
  </si>
  <si>
    <t xml:space="preserve">08:16:00</t>
  </si>
  <si>
    <t xml:space="preserve">06:37:00</t>
  </si>
  <si>
    <t xml:space="preserve">BT1546**</t>
  </si>
  <si>
    <t xml:space="preserve">11:35:00</t>
  </si>
  <si>
    <t xml:space="preserve">SPL</t>
  </si>
  <si>
    <t xml:space="preserve">770-95683341</t>
  </si>
  <si>
    <t xml:space="preserve">09:26:00</t>
  </si>
  <si>
    <t xml:space="preserve">00:18:00</t>
  </si>
  <si>
    <t xml:space="preserve">06:00:00</t>
  </si>
  <si>
    <t xml:space="preserve">PMC517008M</t>
  </si>
  <si>
    <t xml:space="preserve">07:38:00</t>
  </si>
  <si>
    <t xml:space="preserve">770-14825833</t>
  </si>
  <si>
    <t xml:space="preserve">09:44:00</t>
  </si>
  <si>
    <t xml:space="preserve">03:59:00</t>
  </si>
  <si>
    <t xml:space="preserve">23:10:00</t>
  </si>
  <si>
    <t xml:space="preserve">PMC184838M</t>
  </si>
  <si>
    <t xml:space="preserve">09:09:00</t>
  </si>
  <si>
    <t xml:space="preserve">GARMENTS</t>
  </si>
  <si>
    <t xml:space="preserve">770-40934513</t>
  </si>
  <si>
    <t xml:space="preserve">11:59:00</t>
  </si>
  <si>
    <t xml:space="preserve">00:48:00</t>
  </si>
  <si>
    <t xml:space="preserve">22:21:00</t>
  </si>
  <si>
    <t xml:space="preserve">PMC699408M</t>
  </si>
  <si>
    <t xml:space="preserve">12:14:00</t>
  </si>
  <si>
    <t xml:space="preserve">770-40098204</t>
  </si>
  <si>
    <t xml:space="preserve">23:35:00</t>
  </si>
  <si>
    <t xml:space="preserve">10:24:00</t>
  </si>
  <si>
    <t xml:space="preserve">09:59:00</t>
  </si>
  <si>
    <t xml:space="preserve">PMC424628M</t>
  </si>
  <si>
    <t xml:space="preserve">03:32:00</t>
  </si>
  <si>
    <t xml:space="preserve">770-22642603</t>
  </si>
  <si>
    <t xml:space="preserve">11:20:00</t>
  </si>
  <si>
    <t xml:space="preserve">02:12:00</t>
  </si>
  <si>
    <t xml:space="preserve">04:23:00</t>
  </si>
  <si>
    <t xml:space="preserve">PMC500808M</t>
  </si>
  <si>
    <t xml:space="preserve">04:36:00</t>
  </si>
  <si>
    <t xml:space="preserve">770-72288717</t>
  </si>
  <si>
    <t xml:space="preserve">16:23:00</t>
  </si>
  <si>
    <t xml:space="preserve">22:57:00</t>
  </si>
  <si>
    <t xml:space="preserve">09:28:00</t>
  </si>
  <si>
    <t xml:space="preserve">PMC973128M</t>
  </si>
  <si>
    <t xml:space="preserve">00:22:00</t>
  </si>
  <si>
    <t xml:space="preserve">770-61887883</t>
  </si>
  <si>
    <t xml:space="preserve">13:58:00</t>
  </si>
  <si>
    <t xml:space="preserve">20:29:00</t>
  </si>
  <si>
    <t xml:space="preserve">07:36:00</t>
  </si>
  <si>
    <t xml:space="preserve">BT8371**</t>
  </si>
  <si>
    <t xml:space="preserve">00:38:00</t>
  </si>
  <si>
    <t xml:space="preserve">770-39889233</t>
  </si>
  <si>
    <t xml:space="preserve">21:15:00</t>
  </si>
  <si>
    <t xml:space="preserve">10:37:00</t>
  </si>
  <si>
    <t xml:space="preserve">07:43:00</t>
  </si>
  <si>
    <t xml:space="preserve">BT8755**</t>
  </si>
  <si>
    <t xml:space="preserve">07:44:00</t>
  </si>
  <si>
    <t xml:space="preserve">770-45689375</t>
  </si>
  <si>
    <t xml:space="preserve">22:05:00</t>
  </si>
  <si>
    <t xml:space="preserve">02:32:00</t>
  </si>
  <si>
    <t xml:space="preserve">18:41:00</t>
  </si>
  <si>
    <t xml:space="preserve">PMC887598M</t>
  </si>
  <si>
    <t xml:space="preserve">07:41:00</t>
  </si>
  <si>
    <t xml:space="preserve">COTTON YARN</t>
  </si>
  <si>
    <t xml:space="preserve">770-34689125</t>
  </si>
  <si>
    <t xml:space="preserve">18:14:00</t>
  </si>
  <si>
    <t xml:space="preserve">17:24:00</t>
  </si>
  <si>
    <t xml:space="preserve">12:50:00</t>
  </si>
  <si>
    <t xml:space="preserve">PMC920738M</t>
  </si>
  <si>
    <t xml:space="preserve">06:52:00</t>
  </si>
  <si>
    <t xml:space="preserve">770-56514639</t>
  </si>
  <si>
    <t xml:space="preserve">23:08:00</t>
  </si>
  <si>
    <t xml:space="preserve">12:46:00</t>
  </si>
  <si>
    <t xml:space="preserve">08:12:00</t>
  </si>
  <si>
    <t xml:space="preserve">PMC930498M</t>
  </si>
  <si>
    <t xml:space="preserve">10:34:00</t>
  </si>
  <si>
    <t xml:space="preserve">770-75355698</t>
  </si>
  <si>
    <t xml:space="preserve">09:49:00</t>
  </si>
  <si>
    <t xml:space="preserve">03:10:00</t>
  </si>
  <si>
    <t xml:space="preserve">00:35:00</t>
  </si>
  <si>
    <t xml:space="preserve">PMC673568M</t>
  </si>
  <si>
    <t xml:space="preserve">07:46:00</t>
  </si>
  <si>
    <t xml:space="preserve">770-57006333</t>
  </si>
  <si>
    <t xml:space="preserve">13:13:00</t>
  </si>
  <si>
    <t xml:space="preserve">11:03:00</t>
  </si>
  <si>
    <t xml:space="preserve">22:01:00</t>
  </si>
  <si>
    <t xml:space="preserve">PMC363678M</t>
  </si>
  <si>
    <t xml:space="preserve">05:55:00</t>
  </si>
  <si>
    <t xml:space="preserve">770-27314349</t>
  </si>
  <si>
    <t xml:space="preserve">09:21:00</t>
  </si>
  <si>
    <t xml:space="preserve">18:58:00</t>
  </si>
  <si>
    <t xml:space="preserve">PMC220568M</t>
  </si>
  <si>
    <t xml:space="preserve">770-48299765</t>
  </si>
  <si>
    <t xml:space="preserve">17:31:00</t>
  </si>
  <si>
    <t xml:space="preserve">13:09:00</t>
  </si>
  <si>
    <t xml:space="preserve">20:46:00</t>
  </si>
  <si>
    <t xml:space="preserve">PMC635118M</t>
  </si>
  <si>
    <t xml:space="preserve">770-57858166</t>
  </si>
  <si>
    <t xml:space="preserve">21:16:00</t>
  </si>
  <si>
    <t xml:space="preserve">23:20:00</t>
  </si>
  <si>
    <t xml:space="preserve">BT3672**</t>
  </si>
  <si>
    <t xml:space="preserve">770-54308531</t>
  </si>
  <si>
    <t xml:space="preserve">20:00:00</t>
  </si>
  <si>
    <t xml:space="preserve">02:09:00</t>
  </si>
  <si>
    <t xml:space="preserve">14:12:00</t>
  </si>
  <si>
    <t xml:space="preserve">PMC974478M</t>
  </si>
  <si>
    <t xml:space="preserve">00:06:00</t>
  </si>
  <si>
    <t xml:space="preserve">770-98322523</t>
  </si>
  <si>
    <t xml:space="preserve">12:36:00</t>
  </si>
  <si>
    <t xml:space="preserve">01:24:00</t>
  </si>
  <si>
    <t xml:space="preserve">02:31:00</t>
  </si>
  <si>
    <t xml:space="preserve">PMC935008M</t>
  </si>
  <si>
    <t xml:space="preserve">05:12:00</t>
  </si>
  <si>
    <t xml:space="preserve">VUN</t>
  </si>
  <si>
    <t xml:space="preserve">770-59577006</t>
  </si>
  <si>
    <t xml:space="preserve">16:10:00</t>
  </si>
  <si>
    <t xml:space="preserve">22:14:00</t>
  </si>
  <si>
    <t xml:space="preserve">00:14:00</t>
  </si>
  <si>
    <t xml:space="preserve">PMC410268M</t>
  </si>
  <si>
    <t xml:space="preserve">02:30:00</t>
  </si>
  <si>
    <t xml:space="preserve">770-81296992</t>
  </si>
  <si>
    <t xml:space="preserve">13:25:00</t>
  </si>
  <si>
    <t xml:space="preserve">01:36:00</t>
  </si>
  <si>
    <t xml:space="preserve">PMC323288M</t>
  </si>
  <si>
    <t xml:space="preserve">07:10:00</t>
  </si>
  <si>
    <t xml:space="preserve">770-75800442</t>
  </si>
  <si>
    <t xml:space="preserve">22:29:00</t>
  </si>
  <si>
    <t xml:space="preserve">14:51:00</t>
  </si>
  <si>
    <t xml:space="preserve">PMC656278M</t>
  </si>
  <si>
    <t xml:space="preserve">11:05:00</t>
  </si>
  <si>
    <t xml:space="preserve">770-88493432</t>
  </si>
  <si>
    <t xml:space="preserve">13:18:00</t>
  </si>
  <si>
    <t xml:space="preserve">05:16:00</t>
  </si>
  <si>
    <t xml:space="preserve">00:05:00</t>
  </si>
  <si>
    <t xml:space="preserve">BT4261**</t>
  </si>
  <si>
    <t xml:space="preserve">03:50:00</t>
  </si>
  <si>
    <t xml:space="preserve">770-25930332</t>
  </si>
  <si>
    <t xml:space="preserve">21:00:00</t>
  </si>
  <si>
    <t xml:space="preserve">04:14:00</t>
  </si>
  <si>
    <t xml:space="preserve">02:52:00</t>
  </si>
  <si>
    <t xml:space="preserve">BT9286**</t>
  </si>
  <si>
    <t xml:space="preserve">01:27:00</t>
  </si>
  <si>
    <t xml:space="preserve">770-92977737</t>
  </si>
  <si>
    <t xml:space="preserve">11:30:00</t>
  </si>
  <si>
    <t xml:space="preserve">08:05:00</t>
  </si>
  <si>
    <t xml:space="preserve">PMC953578M</t>
  </si>
  <si>
    <t xml:space="preserve">770-47680779</t>
  </si>
  <si>
    <t xml:space="preserve">14:23:00</t>
  </si>
  <si>
    <t xml:space="preserve">22:28:00</t>
  </si>
  <si>
    <t xml:space="preserve">20:56:00</t>
  </si>
  <si>
    <t xml:space="preserve">PMC114718M</t>
  </si>
  <si>
    <t xml:space="preserve">04:53:00</t>
  </si>
  <si>
    <t xml:space="preserve">770-19082802</t>
  </si>
  <si>
    <t xml:space="preserve">21:24:00</t>
  </si>
  <si>
    <t xml:space="preserve">06:46:00</t>
  </si>
  <si>
    <t xml:space="preserve">20:25:00</t>
  </si>
  <si>
    <t xml:space="preserve">PMC669868M</t>
  </si>
  <si>
    <t xml:space="preserve">VAL</t>
  </si>
  <si>
    <t xml:space="preserve">770-61115173</t>
  </si>
  <si>
    <t xml:space="preserve">19:42:00</t>
  </si>
  <si>
    <t xml:space="preserve">23:14:00</t>
  </si>
  <si>
    <t xml:space="preserve">PMC262828M</t>
  </si>
  <si>
    <t xml:space="preserve">12:40:00</t>
  </si>
  <si>
    <t xml:space="preserve">770-43655976</t>
  </si>
  <si>
    <t xml:space="preserve">19:16:00</t>
  </si>
  <si>
    <t xml:space="preserve">06:56:00</t>
  </si>
  <si>
    <t xml:space="preserve">05:10:00</t>
  </si>
  <si>
    <t xml:space="preserve">PMC221508M</t>
  </si>
  <si>
    <t xml:space="preserve">03:07:00</t>
  </si>
  <si>
    <t xml:space="preserve">770-37969304</t>
  </si>
  <si>
    <t xml:space="preserve">11:58:00</t>
  </si>
  <si>
    <t xml:space="preserve">23:09:00</t>
  </si>
  <si>
    <t xml:space="preserve">PMC904248M</t>
  </si>
  <si>
    <t xml:space="preserve">02:01:00</t>
  </si>
  <si>
    <t xml:space="preserve">770-71327194</t>
  </si>
  <si>
    <t xml:space="preserve">08:57:00</t>
  </si>
  <si>
    <t xml:space="preserve">03:49:00</t>
  </si>
  <si>
    <t xml:space="preserve">BT6754**</t>
  </si>
  <si>
    <t xml:space="preserve">770-85762138</t>
  </si>
  <si>
    <t xml:space="preserve">14:35:00</t>
  </si>
  <si>
    <t xml:space="preserve">19:54:00</t>
  </si>
  <si>
    <t xml:space="preserve">20:23:00</t>
  </si>
  <si>
    <t xml:space="preserve">BT1841**</t>
  </si>
  <si>
    <t xml:space="preserve">00:13:00</t>
  </si>
  <si>
    <t xml:space="preserve">AVI</t>
  </si>
  <si>
    <t xml:space="preserve">770-74424404</t>
  </si>
  <si>
    <t xml:space="preserve">19:38:00</t>
  </si>
  <si>
    <t xml:space="preserve">00:53:00</t>
  </si>
  <si>
    <t xml:space="preserve">20:26:00</t>
  </si>
  <si>
    <t xml:space="preserve">PMC156648M</t>
  </si>
  <si>
    <t xml:space="preserve">05:11:00</t>
  </si>
  <si>
    <t xml:space="preserve">770-77566388</t>
  </si>
  <si>
    <t xml:space="preserve">23:15:00</t>
  </si>
  <si>
    <t xml:space="preserve">06:54:00</t>
  </si>
  <si>
    <t xml:space="preserve">13:43:00</t>
  </si>
  <si>
    <t xml:space="preserve">PMC762148M</t>
  </si>
  <si>
    <t xml:space="preserve">01:12:00</t>
  </si>
  <si>
    <t xml:space="preserve">770-73675700</t>
  </si>
  <si>
    <t xml:space="preserve">16:41:00</t>
  </si>
  <si>
    <t xml:space="preserve">17:29:00</t>
  </si>
  <si>
    <t xml:space="preserve">BT3287**</t>
  </si>
  <si>
    <t xml:space="preserve">770-85536075</t>
  </si>
  <si>
    <t xml:space="preserve">19:30:00</t>
  </si>
  <si>
    <t xml:space="preserve">07:11:00</t>
  </si>
  <si>
    <t xml:space="preserve">PMC392518M</t>
  </si>
  <si>
    <t xml:space="preserve">09:02:00</t>
  </si>
  <si>
    <t xml:space="preserve">770-40168863</t>
  </si>
  <si>
    <t xml:space="preserve">12:56:00</t>
  </si>
  <si>
    <t xml:space="preserve">13:29:00</t>
  </si>
  <si>
    <t xml:space="preserve">19:00:00</t>
  </si>
  <si>
    <t xml:space="preserve">BT8556**</t>
  </si>
  <si>
    <t xml:space="preserve">770-32951276</t>
  </si>
  <si>
    <t xml:space="preserve">15:21:00</t>
  </si>
  <si>
    <t xml:space="preserve">03:17:00</t>
  </si>
  <si>
    <t xml:space="preserve">15:47:00</t>
  </si>
  <si>
    <t xml:space="preserve">BT8064**</t>
  </si>
  <si>
    <t xml:space="preserve">09:01:00</t>
  </si>
  <si>
    <t xml:space="preserve">770-46460702</t>
  </si>
  <si>
    <t xml:space="preserve">10:35:00</t>
  </si>
  <si>
    <t xml:space="preserve">00:40:00</t>
  </si>
  <si>
    <t xml:space="preserve">04:57:00</t>
  </si>
  <si>
    <t xml:space="preserve">PMC599718M</t>
  </si>
  <si>
    <t xml:space="preserve">04:34:00</t>
  </si>
  <si>
    <t xml:space="preserve">SERVICE CHALLAN EXPORT</t>
  </si>
  <si>
    <t xml:space="preserve">CARRIER:8M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</si>
  <si>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</si>
  <si>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</si>
  <si>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</si>
  <si>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</si>
  <si>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</si>
  <si>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</si>
  <si>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</si>
  <si>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</si>
  <si>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</si>
  <si>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</si>
  <si>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</si>
  <si>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</si>
  <si>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RATES</t>
  </si>
  <si>
    <t xml:space="preserve">AIR SIDE DEM AMT</t>
  </si>
  <si>
    <t xml:space="preserve">AIR SIDE DEM AMT INC GST</t>
  </si>
  <si>
    <t xml:space="preserve">SCREENING ANNEXURE (X-RAY CERTIFICATION)</t>
  </si>
  <si>
    <t xml:space="preserve">Carrier: 8M</t>
  </si>
  <si>
    <t xml:space="preserve">S.NO</t>
  </si>
  <si>
    <t xml:space="preserve">MAWB No.</t>
  </si>
  <si>
    <t xml:space="preserve">PKGS</t>
  </si>
  <si>
    <t xml:space="preserve">CH.WEIGHT</t>
  </si>
  <si>
    <t xml:space="preserve">AMOUNT</t>
  </si>
  <si>
    <t xml:space="preserve">S. TAX</t>
  </si>
  <si>
    <t xml:space="preserve">RATE</t>
  </si>
  <si>
    <t xml:space="preserve">770-80863317P</t>
  </si>
  <si>
    <t xml:space="preserve">770-16559321P</t>
  </si>
  <si>
    <t xml:space="preserve">770-76062833P</t>
  </si>
  <si>
    <t xml:space="preserve">770-42851178P</t>
  </si>
  <si>
    <t xml:space="preserve">770-96151432P</t>
  </si>
  <si>
    <t xml:space="preserve">770-46655704P</t>
  </si>
  <si>
    <t xml:space="preserve">770-23143087P</t>
  </si>
  <si>
    <t xml:space="preserve">770-57615412A</t>
  </si>
  <si>
    <t xml:space="preserve">770-42017170P</t>
  </si>
  <si>
    <t xml:space="preserve">770-91954356P</t>
  </si>
  <si>
    <t xml:space="preserve">770-53863982P</t>
  </si>
  <si>
    <t xml:space="preserve">770-29164987A</t>
  </si>
  <si>
    <t xml:space="preserve">770-42693045P</t>
  </si>
  <si>
    <t xml:space="preserve">770-40851845P</t>
  </si>
  <si>
    <t xml:space="preserve">770-33581263A</t>
  </si>
  <si>
    <t xml:space="preserve">770-87331546P</t>
  </si>
  <si>
    <t xml:space="preserve">770-75312503A</t>
  </si>
  <si>
    <t xml:space="preserve">770-33390712A</t>
  </si>
  <si>
    <t xml:space="preserve">770-14599561P</t>
  </si>
  <si>
    <t xml:space="preserve">770-53510136A</t>
  </si>
  <si>
    <t xml:space="preserve">770-89909757P</t>
  </si>
  <si>
    <t xml:space="preserve">770-11214009P</t>
  </si>
  <si>
    <t xml:space="preserve">770-41553424P</t>
  </si>
  <si>
    <t xml:space="preserve">770-43548945A</t>
  </si>
  <si>
    <t xml:space="preserve">770-50227661P</t>
  </si>
  <si>
    <t xml:space="preserve">770-95651788P</t>
  </si>
  <si>
    <t xml:space="preserve">770-64564205P</t>
  </si>
  <si>
    <t xml:space="preserve">770-80273434P</t>
  </si>
  <si>
    <t xml:space="preserve">770-14336104A</t>
  </si>
  <si>
    <t xml:space="preserve">770-43721305P</t>
  </si>
  <si>
    <t xml:space="preserve">770-64642452P</t>
  </si>
  <si>
    <t xml:space="preserve">770-65816052P</t>
  </si>
  <si>
    <t xml:space="preserve">770-69739143A</t>
  </si>
  <si>
    <t xml:space="preserve">770-80505438P</t>
  </si>
  <si>
    <t xml:space="preserve">770-95683341A</t>
  </si>
  <si>
    <t xml:space="preserve">770-14825833P</t>
  </si>
  <si>
    <t xml:space="preserve">770-40934513P</t>
  </si>
  <si>
    <t xml:space="preserve">770-40098204A</t>
  </si>
  <si>
    <t xml:space="preserve">770-22642603P</t>
  </si>
  <si>
    <t xml:space="preserve">770-72288717A</t>
  </si>
  <si>
    <t xml:space="preserve">770-61887883P</t>
  </si>
  <si>
    <t xml:space="preserve">770-39889233P</t>
  </si>
  <si>
    <t xml:space="preserve">770-45689375P</t>
  </si>
  <si>
    <t xml:space="preserve">770-34689125A</t>
  </si>
  <si>
    <t xml:space="preserve">770-56514639P</t>
  </si>
  <si>
    <t xml:space="preserve">770-75355698P</t>
  </si>
  <si>
    <t xml:space="preserve">770-57006333P</t>
  </si>
  <si>
    <t xml:space="preserve">770-27314349P</t>
  </si>
  <si>
    <t xml:space="preserve">770-48299765P</t>
  </si>
  <si>
    <t xml:space="preserve">770-57858166A</t>
  </si>
  <si>
    <t xml:space="preserve">770-54308531P</t>
  </si>
  <si>
    <t xml:space="preserve">770-98322523P</t>
  </si>
  <si>
    <t xml:space="preserve">770-59577006P</t>
  </si>
  <si>
    <t xml:space="preserve">770-81296992P</t>
  </si>
  <si>
    <t xml:space="preserve">770-75800442P</t>
  </si>
  <si>
    <t xml:space="preserve">770-88493432P</t>
  </si>
  <si>
    <t xml:space="preserve">770-25930332P</t>
  </si>
  <si>
    <t xml:space="preserve">770-92977737A</t>
  </si>
  <si>
    <t xml:space="preserve">770-47680779P</t>
  </si>
  <si>
    <t xml:space="preserve">770-19082802A</t>
  </si>
  <si>
    <t xml:space="preserve">770-61115173P</t>
  </si>
  <si>
    <t xml:space="preserve">770-43655976P</t>
  </si>
  <si>
    <t xml:space="preserve">770-37969304P</t>
  </si>
  <si>
    <t xml:space="preserve">770-71327194P</t>
  </si>
  <si>
    <t xml:space="preserve">770-85762138P</t>
  </si>
  <si>
    <t xml:space="preserve">770-74424404P</t>
  </si>
  <si>
    <t xml:space="preserve">770-77566388A</t>
  </si>
  <si>
    <t xml:space="preserve">770-73675700P</t>
  </si>
  <si>
    <t xml:space="preserve">770-85536075A</t>
  </si>
  <si>
    <t xml:space="preserve">770-40168863P</t>
  </si>
  <si>
    <t xml:space="preserve">770-32951276A</t>
  </si>
  <si>
    <t xml:space="preserve">770-46460702P</t>
  </si>
  <si>
    <t xml:space="preserve">OFFLOADING DETAILS 8M</t>
  </si>
  <si>
    <t xml:space="preserve">AWBNo</t>
  </si>
  <si>
    <t xml:space="preserve">Flight No</t>
  </si>
  <si>
    <t xml:space="preserve">Date</t>
  </si>
  <si>
    <t xml:space="preserve">DES</t>
  </si>
  <si>
    <t xml:space="preserve">GRS WGT</t>
  </si>
  <si>
    <t xml:space="preserve">CH. WGT</t>
  </si>
  <si>
    <t xml:space="preserve">AMOUNT (Inc.Tax)</t>
  </si>
  <si>
    <t xml:space="preserve">Grand Total</t>
  </si>
  <si>
    <t xml:space="preserve">RATE CARD - 8M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</si>
  <si>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</si>
  <si>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</si>
  <si>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</si>
  <si>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</si>
  <si>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</si>
  <si>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</si>
  <si>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</si>
  <si>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TPV</t>
  </si>
  <si>
    <t xml:space="preserve">770-66064192</t>
  </si>
  <si>
    <t xml:space="preserve">08:49:00</t>
  </si>
  <si>
    <t xml:space="preserve">19:13:00</t>
  </si>
  <si>
    <t xml:space="preserve">11:55:00</t>
  </si>
  <si>
    <t xml:space="preserve">PMC819118M</t>
  </si>
  <si>
    <t xml:space="preserve">00:49:00</t>
  </si>
  <si>
    <t xml:space="preserve">770-19200189</t>
  </si>
  <si>
    <t xml:space="preserve">19:39:00</t>
  </si>
  <si>
    <t xml:space="preserve">04:42:00</t>
  </si>
  <si>
    <t xml:space="preserve">PMC630038M</t>
  </si>
  <si>
    <t xml:space="preserve">12:35:00</t>
  </si>
  <si>
    <t xml:space="preserve">770-16931896</t>
  </si>
  <si>
    <t xml:space="preserve">20:41:00</t>
  </si>
  <si>
    <t xml:space="preserve">07:49:00</t>
  </si>
  <si>
    <t xml:space="preserve">PMC161388M</t>
  </si>
  <si>
    <t xml:space="preserve">04:40:00</t>
  </si>
  <si>
    <t xml:space="preserve">770-72410311</t>
  </si>
  <si>
    <t xml:space="preserve">22:35:00</t>
  </si>
  <si>
    <t xml:space="preserve">22:26:00</t>
  </si>
  <si>
    <t xml:space="preserve">21:43:00</t>
  </si>
  <si>
    <t xml:space="preserve">PMC508398M</t>
  </si>
  <si>
    <t xml:space="preserve">06:45:00</t>
  </si>
  <si>
    <t xml:space="preserve">770-65342187</t>
  </si>
  <si>
    <t xml:space="preserve">10:05:00</t>
  </si>
  <si>
    <t xml:space="preserve">16:15:00</t>
  </si>
  <si>
    <t xml:space="preserve">BT2355**</t>
  </si>
  <si>
    <t xml:space="preserve">02:14:00</t>
  </si>
  <si>
    <t xml:space="preserve">770-87868830</t>
  </si>
  <si>
    <t xml:space="preserve">19:45:00</t>
  </si>
  <si>
    <t xml:space="preserve">21:19:00</t>
  </si>
  <si>
    <t xml:space="preserve">15:44:00</t>
  </si>
  <si>
    <t xml:space="preserve">PMC874318M</t>
  </si>
  <si>
    <t xml:space="preserve">03:54:00</t>
  </si>
  <si>
    <t xml:space="preserve">770-34693750</t>
  </si>
  <si>
    <t xml:space="preserve">00:29:00</t>
  </si>
  <si>
    <t xml:space="preserve">16:36:00</t>
  </si>
  <si>
    <t xml:space="preserve">PMC268498M</t>
  </si>
  <si>
    <t xml:space="preserve">00:00:00</t>
  </si>
  <si>
    <t xml:space="preserve">770-90996810</t>
  </si>
  <si>
    <t xml:space="preserve">20:11:00</t>
  </si>
  <si>
    <t xml:space="preserve">09:18:00</t>
  </si>
  <si>
    <t xml:space="preserve">PMC284058M</t>
  </si>
  <si>
    <t xml:space="preserve">06:34:00</t>
  </si>
  <si>
    <t xml:space="preserve">770-10254264</t>
  </si>
  <si>
    <t xml:space="preserve">20:14:00</t>
  </si>
  <si>
    <t xml:space="preserve">PMC305248M</t>
  </si>
  <si>
    <t xml:space="preserve">07:03:00</t>
  </si>
  <si>
    <t xml:space="preserve">770-81159921</t>
  </si>
  <si>
    <t xml:space="preserve">10:31:00</t>
  </si>
  <si>
    <t xml:space="preserve">23:24:00</t>
  </si>
  <si>
    <t xml:space="preserve">BT4810**</t>
  </si>
  <si>
    <t xml:space="preserve">02:57:00</t>
  </si>
  <si>
    <t xml:space="preserve">770-71993261</t>
  </si>
  <si>
    <t xml:space="preserve">PMC117878M</t>
  </si>
  <si>
    <t xml:space="preserve">06:29:00</t>
  </si>
  <si>
    <t xml:space="preserve">770-25764652</t>
  </si>
  <si>
    <t xml:space="preserve">10:58:00</t>
  </si>
  <si>
    <t xml:space="preserve">23:33:00</t>
  </si>
  <si>
    <t xml:space="preserve">05:24:00</t>
  </si>
  <si>
    <t xml:space="preserve">PMC698658M</t>
  </si>
  <si>
    <t xml:space="preserve">07:04:00</t>
  </si>
  <si>
    <t xml:space="preserve">770-50064896</t>
  </si>
  <si>
    <t xml:space="preserve">19:08:00</t>
  </si>
  <si>
    <t xml:space="preserve">03:36:00</t>
  </si>
  <si>
    <t xml:space="preserve">15:18:00</t>
  </si>
  <si>
    <t xml:space="preserve">PMC352248M</t>
  </si>
  <si>
    <t xml:space="preserve">00:08:00</t>
  </si>
  <si>
    <t xml:space="preserve">CONSOL CARGO</t>
  </si>
  <si>
    <t xml:space="preserve">770-61886125</t>
  </si>
  <si>
    <t xml:space="preserve">09:20:00</t>
  </si>
  <si>
    <t xml:space="preserve">19:27:00</t>
  </si>
  <si>
    <t xml:space="preserve">04:25:00</t>
  </si>
  <si>
    <t xml:space="preserve">BT5963**</t>
  </si>
  <si>
    <t xml:space="preserve">10:36:00</t>
  </si>
  <si>
    <t xml:space="preserve">770-49811413</t>
  </si>
  <si>
    <t xml:space="preserve">12:29:00</t>
  </si>
  <si>
    <t xml:space="preserve">00:21:00</t>
  </si>
  <si>
    <t xml:space="preserve">BT8724**</t>
  </si>
  <si>
    <t xml:space="preserve">08:04:00</t>
  </si>
  <si>
    <t xml:space="preserve">770-94593130</t>
  </si>
  <si>
    <t xml:space="preserve">18:08:00</t>
  </si>
  <si>
    <t xml:space="preserve">00:01:00</t>
  </si>
  <si>
    <t xml:space="preserve">PMC541078M</t>
  </si>
  <si>
    <t xml:space="preserve">02:49:00</t>
  </si>
  <si>
    <t xml:space="preserve">770-98188201</t>
  </si>
  <si>
    <t xml:space="preserve">14:50:00</t>
  </si>
  <si>
    <t xml:space="preserve">09:00:00</t>
  </si>
  <si>
    <t xml:space="preserve">06:17:00</t>
  </si>
  <si>
    <t xml:space="preserve">PMC743318M</t>
  </si>
  <si>
    <t xml:space="preserve">00:27:00</t>
  </si>
  <si>
    <t xml:space="preserve">770-69956299</t>
  </si>
  <si>
    <t xml:space="preserve">14:34:00</t>
  </si>
  <si>
    <t xml:space="preserve">15:10:00</t>
  </si>
  <si>
    <t xml:space="preserve">11:45:00</t>
  </si>
  <si>
    <t xml:space="preserve">BT8447**</t>
  </si>
  <si>
    <t xml:space="preserve">04:55:00</t>
  </si>
  <si>
    <t xml:space="preserve">770-11531594</t>
  </si>
  <si>
    <t xml:space="preserve">18:01:00</t>
  </si>
  <si>
    <t xml:space="preserve">23:16:00</t>
  </si>
  <si>
    <t xml:space="preserve">20:19:00</t>
  </si>
  <si>
    <t xml:space="preserve">PMC585398M</t>
  </si>
  <si>
    <t xml:space="preserve">05:01:00</t>
  </si>
  <si>
    <t xml:space="preserve">770-96085903</t>
  </si>
  <si>
    <t xml:space="preserve">16:08:00</t>
  </si>
  <si>
    <t xml:space="preserve">01:01:00</t>
  </si>
  <si>
    <t xml:space="preserve">BT5587**</t>
  </si>
  <si>
    <t xml:space="preserve">06:23:00</t>
  </si>
  <si>
    <t xml:space="preserve">770-44278393</t>
  </si>
  <si>
    <t xml:space="preserve">07:47:00</t>
  </si>
  <si>
    <t xml:space="preserve">PMC750308M</t>
  </si>
  <si>
    <t xml:space="preserve">05:20:00</t>
  </si>
  <si>
    <t xml:space="preserve">770-27501823</t>
  </si>
  <si>
    <t xml:space="preserve">06:33:00</t>
  </si>
  <si>
    <t xml:space="preserve">08:02:00</t>
  </si>
  <si>
    <t xml:space="preserve">PMC940258M</t>
  </si>
  <si>
    <t xml:space="preserve">02:55:00</t>
  </si>
  <si>
    <t xml:space="preserve">770-18402363</t>
  </si>
  <si>
    <t xml:space="preserve">21:58:00</t>
  </si>
  <si>
    <t xml:space="preserve">BT7574**</t>
  </si>
  <si>
    <t xml:space="preserve">01:33:00</t>
  </si>
  <si>
    <t xml:space="preserve">770-55733477</t>
  </si>
  <si>
    <t xml:space="preserve">16:57:00</t>
  </si>
  <si>
    <t xml:space="preserve">18:46:00</t>
  </si>
  <si>
    <t xml:space="preserve">BT4981**</t>
  </si>
  <si>
    <t xml:space="preserve">11:18:00</t>
  </si>
  <si>
    <t xml:space="preserve">770-22753885</t>
  </si>
  <si>
    <t xml:space="preserve">10:25:00</t>
  </si>
  <si>
    <t xml:space="preserve">05:35:00</t>
  </si>
  <si>
    <t xml:space="preserve">PMC640928M</t>
  </si>
  <si>
    <t xml:space="preserve">04:49:00</t>
  </si>
  <si>
    <t xml:space="preserve">770-82354218</t>
  </si>
  <si>
    <t xml:space="preserve">22:20:00</t>
  </si>
  <si>
    <t xml:space="preserve">06:07:00</t>
  </si>
  <si>
    <t xml:space="preserve">PMC324418M</t>
  </si>
  <si>
    <t xml:space="preserve">770-16692679</t>
  </si>
  <si>
    <t xml:space="preserve">14:47:00</t>
  </si>
  <si>
    <t xml:space="preserve">19:36:00</t>
  </si>
  <si>
    <t xml:space="preserve">22:11:00</t>
  </si>
  <si>
    <t xml:space="preserve">PMC796358M</t>
  </si>
  <si>
    <t xml:space="preserve">770-94838522</t>
  </si>
  <si>
    <t xml:space="preserve">15:55:00</t>
  </si>
  <si>
    <t xml:space="preserve">00:12:00</t>
  </si>
  <si>
    <t xml:space="preserve">PMC805248M</t>
  </si>
  <si>
    <t xml:space="preserve">02:36:00</t>
  </si>
  <si>
    <t xml:space="preserve">770-79584240</t>
  </si>
  <si>
    <t xml:space="preserve">11:24:00</t>
  </si>
  <si>
    <t xml:space="preserve">15:06:00</t>
  </si>
  <si>
    <t xml:space="preserve">PMC504378M</t>
  </si>
  <si>
    <t xml:space="preserve">01:45:00</t>
  </si>
  <si>
    <t xml:space="preserve">770-42237357</t>
  </si>
  <si>
    <t xml:space="preserve">PMC558788M</t>
  </si>
  <si>
    <t xml:space="preserve">770-74047083</t>
  </si>
  <si>
    <t xml:space="preserve">14:03:00</t>
  </si>
  <si>
    <t xml:space="preserve">11:37:00</t>
  </si>
  <si>
    <t xml:space="preserve">PMC380538M</t>
  </si>
  <si>
    <t xml:space="preserve">10:13:00</t>
  </si>
  <si>
    <t xml:space="preserve">770-43394067</t>
  </si>
  <si>
    <t xml:space="preserve">15:38:00</t>
  </si>
  <si>
    <t xml:space="preserve">08:15:00</t>
  </si>
  <si>
    <t xml:space="preserve">BT1812**</t>
  </si>
  <si>
    <t xml:space="preserve">00:28:00</t>
  </si>
  <si>
    <t xml:space="preserve">770-39354944</t>
  </si>
  <si>
    <t xml:space="preserve">11:48:00</t>
  </si>
  <si>
    <t xml:space="preserve">13:45:00</t>
  </si>
  <si>
    <t xml:space="preserve">07:23:00</t>
  </si>
  <si>
    <t xml:space="preserve">BT1284**</t>
  </si>
  <si>
    <t xml:space="preserve">10:48:00</t>
  </si>
  <si>
    <t xml:space="preserve">770-27326166</t>
  </si>
  <si>
    <t xml:space="preserve">15:25:00</t>
  </si>
  <si>
    <t xml:space="preserve">PMC191348M</t>
  </si>
  <si>
    <t xml:space="preserve">770-82092550</t>
  </si>
  <si>
    <t xml:space="preserve">12:05:00</t>
  </si>
  <si>
    <t xml:space="preserve">PMC732618M</t>
  </si>
  <si>
    <t xml:space="preserve">770-13535363</t>
  </si>
  <si>
    <t xml:space="preserve">12:38:00</t>
  </si>
  <si>
    <t xml:space="preserve">07:07:00</t>
  </si>
  <si>
    <t xml:space="preserve">06:47:00</t>
  </si>
  <si>
    <t xml:space="preserve">PMC657918M</t>
  </si>
  <si>
    <t xml:space="preserve">05:46:00</t>
  </si>
  <si>
    <t xml:space="preserve">770-30851714</t>
  </si>
  <si>
    <t xml:space="preserve">BT8876**</t>
  </si>
  <si>
    <t xml:space="preserve">06:55:00</t>
  </si>
  <si>
    <t xml:space="preserve">770-91063214</t>
  </si>
  <si>
    <t xml:space="preserve">11:23:00</t>
  </si>
  <si>
    <t xml:space="preserve">20:17:00</t>
  </si>
  <si>
    <t xml:space="preserve">PMC769698M</t>
  </si>
  <si>
    <t xml:space="preserve">07:33:00</t>
  </si>
  <si>
    <t xml:space="preserve">770-49046219</t>
  </si>
  <si>
    <t xml:space="preserve">16:34:00</t>
  </si>
  <si>
    <t xml:space="preserve">BT9980**</t>
  </si>
  <si>
    <t xml:space="preserve">10:38:00</t>
  </si>
  <si>
    <t xml:space="preserve">770-19036220</t>
  </si>
  <si>
    <t xml:space="preserve">22:52:00</t>
  </si>
  <si>
    <t xml:space="preserve">06:41:00</t>
  </si>
  <si>
    <t xml:space="preserve">00:31:00</t>
  </si>
  <si>
    <t xml:space="preserve">PMC232308M</t>
  </si>
  <si>
    <t xml:space="preserve">03:09:00</t>
  </si>
  <si>
    <t xml:space="preserve">770-14228556</t>
  </si>
  <si>
    <t xml:space="preserve">21:07:00</t>
  </si>
  <si>
    <t xml:space="preserve">PMC100468M</t>
  </si>
  <si>
    <t xml:space="preserve">10:21:00</t>
  </si>
  <si>
    <t xml:space="preserve">770-42215983</t>
  </si>
  <si>
    <t xml:space="preserve">22:10:00</t>
  </si>
  <si>
    <t xml:space="preserve">14:31:00</t>
  </si>
  <si>
    <t xml:space="preserve">16:24:00</t>
  </si>
  <si>
    <t xml:space="preserve">PMC717578M</t>
  </si>
  <si>
    <t xml:space="preserve">770-42895158</t>
  </si>
  <si>
    <t xml:space="preserve">12:48:00</t>
  </si>
  <si>
    <t xml:space="preserve">11:09:00</t>
  </si>
  <si>
    <t xml:space="preserve">08:14:00</t>
  </si>
  <si>
    <t xml:space="preserve">PMC595768M</t>
  </si>
  <si>
    <t xml:space="preserve">11:44:00</t>
  </si>
  <si>
    <t xml:space="preserve">770-73132620</t>
  </si>
  <si>
    <t xml:space="preserve">08:55:00</t>
  </si>
  <si>
    <t xml:space="preserve">12:58:00</t>
  </si>
  <si>
    <t xml:space="preserve">00:51:00</t>
  </si>
  <si>
    <t xml:space="preserve">PMC311848M</t>
  </si>
  <si>
    <t xml:space="preserve">02:44:00</t>
  </si>
  <si>
    <t xml:space="preserve">770-78552559</t>
  </si>
  <si>
    <t xml:space="preserve">09:03:00</t>
  </si>
  <si>
    <t xml:space="preserve">21:08:00</t>
  </si>
  <si>
    <t xml:space="preserve">BT7208**</t>
  </si>
  <si>
    <t xml:space="preserve">05:29:00</t>
  </si>
  <si>
    <t xml:space="preserve">770-15070724</t>
  </si>
  <si>
    <t xml:space="preserve">22:08:00</t>
  </si>
  <si>
    <t xml:space="preserve">11:52:00</t>
  </si>
  <si>
    <t xml:space="preserve">PMC280508M</t>
  </si>
  <si>
    <t xml:space="preserve">03:48:00</t>
  </si>
  <si>
    <t xml:space="preserve">770-13020515</t>
  </si>
  <si>
    <t xml:space="preserve">08:17:00</t>
  </si>
  <si>
    <t xml:space="preserve">01:21:00</t>
  </si>
  <si>
    <t xml:space="preserve">PMC262488M</t>
  </si>
  <si>
    <t xml:space="preserve">09:24:00</t>
  </si>
  <si>
    <t xml:space="preserve">770-70745190</t>
  </si>
  <si>
    <t xml:space="preserve">12:18:00</t>
  </si>
  <si>
    <t xml:space="preserve">14:43:00</t>
  </si>
  <si>
    <t xml:space="preserve">11:34:00</t>
  </si>
  <si>
    <t xml:space="preserve">BT6666**</t>
  </si>
  <si>
    <t xml:space="preserve">10:00:00</t>
  </si>
  <si>
    <t xml:space="preserve">770-71321710</t>
  </si>
  <si>
    <t xml:space="preserve">18:06:00</t>
  </si>
  <si>
    <t xml:space="preserve">20:21:00</t>
  </si>
  <si>
    <t xml:space="preserve">PMC764168M</t>
  </si>
  <si>
    <t xml:space="preserve">770-85294546</t>
  </si>
  <si>
    <t xml:space="preserve">16:50:00</t>
  </si>
  <si>
    <t xml:space="preserve">03:39:00</t>
  </si>
  <si>
    <t xml:space="preserve">PMC643188M</t>
  </si>
  <si>
    <t xml:space="preserve">770-51836914</t>
  </si>
  <si>
    <t xml:space="preserve">19:44:00</t>
  </si>
  <si>
    <t xml:space="preserve">03:37:00</t>
  </si>
  <si>
    <t xml:space="preserve">13:16:00</t>
  </si>
  <si>
    <t xml:space="preserve">BT1693**</t>
  </si>
  <si>
    <t xml:space="preserve">770-43878253</t>
  </si>
  <si>
    <t xml:space="preserve">19:46:00</t>
  </si>
  <si>
    <t xml:space="preserve">05:58:00</t>
  </si>
  <si>
    <t xml:space="preserve">08:50:00</t>
  </si>
  <si>
    <t xml:space="preserve">PMC392708M</t>
  </si>
  <si>
    <t xml:space="preserve">770-83112434</t>
  </si>
  <si>
    <t xml:space="preserve">22:47:00</t>
  </si>
  <si>
    <t xml:space="preserve">04:18:00</t>
  </si>
  <si>
    <t xml:space="preserve">PMC942948M</t>
  </si>
  <si>
    <t xml:space="preserve">00:30:00</t>
  </si>
  <si>
    <t xml:space="preserve">770-59180941</t>
  </si>
  <si>
    <t xml:space="preserve">18:43:00</t>
  </si>
  <si>
    <t xml:space="preserve">12:55:00</t>
  </si>
  <si>
    <t xml:space="preserve">BT9660**</t>
  </si>
  <si>
    <t xml:space="preserve">11:54:00</t>
  </si>
  <si>
    <t xml:space="preserve">770-85552710</t>
  </si>
  <si>
    <t xml:space="preserve">13:32:00</t>
  </si>
  <si>
    <t xml:space="preserve">03:11:00</t>
  </si>
  <si>
    <t xml:space="preserve">BT1194**</t>
  </si>
  <si>
    <t xml:space="preserve">05:45:00</t>
  </si>
  <si>
    <t xml:space="preserve">770-79365544</t>
  </si>
  <si>
    <t xml:space="preserve">08:06:00</t>
  </si>
  <si>
    <t xml:space="preserve">20:45:00</t>
  </si>
  <si>
    <t xml:space="preserve">PMC325558M</t>
  </si>
  <si>
    <t xml:space="preserve">770-67370112</t>
  </si>
  <si>
    <t xml:space="preserve">22:23:00</t>
  </si>
  <si>
    <t xml:space="preserve">12:21:00</t>
  </si>
  <si>
    <t xml:space="preserve">00:54:00</t>
  </si>
  <si>
    <t xml:space="preserve">PMC832298M</t>
  </si>
  <si>
    <t xml:space="preserve">770-57633800</t>
  </si>
  <si>
    <t xml:space="preserve">13:28:00</t>
  </si>
  <si>
    <t xml:space="preserve">21:32:00</t>
  </si>
  <si>
    <t xml:space="preserve">23:29:00</t>
  </si>
  <si>
    <t xml:space="preserve">BT3979**</t>
  </si>
  <si>
    <t xml:space="preserve">04:12:00</t>
  </si>
  <si>
    <t xml:space="preserve">770-95136526</t>
  </si>
  <si>
    <t xml:space="preserve">12:41:00</t>
  </si>
  <si>
    <t xml:space="preserve">12:57:00</t>
  </si>
  <si>
    <t xml:space="preserve">BT7345**</t>
  </si>
  <si>
    <t xml:space="preserve">08:39:00</t>
  </si>
  <si>
    <t xml:space="preserve">770-24163137</t>
  </si>
  <si>
    <t xml:space="preserve">08:53:00</t>
  </si>
  <si>
    <t xml:space="preserve">07:40:00</t>
  </si>
  <si>
    <t xml:space="preserve">BT8359**</t>
  </si>
  <si>
    <t xml:space="preserve">04:24:00</t>
  </si>
  <si>
    <t xml:space="preserve">770-34250020</t>
  </si>
  <si>
    <t xml:space="preserve">16:04:00</t>
  </si>
  <si>
    <t xml:space="preserve">12:49:00</t>
  </si>
  <si>
    <t xml:space="preserve">05:41:00</t>
  </si>
  <si>
    <t xml:space="preserve">BT2588**</t>
  </si>
  <si>
    <t xml:space="preserve">06:04:00</t>
  </si>
  <si>
    <t xml:space="preserve">770-91178918</t>
  </si>
  <si>
    <t xml:space="preserve">22:06:00</t>
  </si>
  <si>
    <t xml:space="preserve">13:36:00</t>
  </si>
  <si>
    <t xml:space="preserve">06:19:00</t>
  </si>
  <si>
    <t xml:space="preserve">PMC419808M</t>
  </si>
  <si>
    <t xml:space="preserve">05:28:00</t>
  </si>
  <si>
    <t xml:space="preserve">770-39313735</t>
  </si>
  <si>
    <t xml:space="preserve">11:16:00</t>
  </si>
  <si>
    <t xml:space="preserve">13:06:00</t>
  </si>
  <si>
    <t xml:space="preserve">03:40:00</t>
  </si>
  <si>
    <t xml:space="preserve">PMC819788M</t>
  </si>
  <si>
    <t xml:space="preserve">770-69931639</t>
  </si>
  <si>
    <t xml:space="preserve">21:03:00</t>
  </si>
  <si>
    <t xml:space="preserve">PMC587048M</t>
  </si>
  <si>
    <t xml:space="preserve">770-94390878</t>
  </si>
  <si>
    <t xml:space="preserve">10:40:00</t>
  </si>
  <si>
    <t xml:space="preserve">17:07:00</t>
  </si>
  <si>
    <t xml:space="preserve">BT2484**</t>
  </si>
  <si>
    <t xml:space="preserve">05:07:00</t>
  </si>
  <si>
    <t xml:space="preserve">770-76136431</t>
  </si>
  <si>
    <t xml:space="preserve">23:58:00</t>
  </si>
  <si>
    <t xml:space="preserve">16:18:00</t>
  </si>
  <si>
    <t xml:space="preserve">00:37:00</t>
  </si>
  <si>
    <t xml:space="preserve">PMC407468M</t>
  </si>
  <si>
    <t xml:space="preserve">02:28:00</t>
  </si>
  <si>
    <t xml:space="preserve">770-38950859</t>
  </si>
  <si>
    <t xml:space="preserve">14:01:00</t>
  </si>
  <si>
    <t xml:space="preserve">20:22:00</t>
  </si>
  <si>
    <t xml:space="preserve">PMC104888M</t>
  </si>
  <si>
    <t xml:space="preserve">770-38396949</t>
  </si>
  <si>
    <t xml:space="preserve">12:32:00</t>
  </si>
  <si>
    <t xml:space="preserve">17:33:00</t>
  </si>
  <si>
    <t xml:space="preserve">21:22:00</t>
  </si>
  <si>
    <t xml:space="preserve">BT9106**</t>
  </si>
  <si>
    <t xml:space="preserve">770-74560524</t>
  </si>
  <si>
    <t xml:space="preserve">11:46:00</t>
  </si>
  <si>
    <t xml:space="preserve">12:33:00</t>
  </si>
  <si>
    <t xml:space="preserve">19:19:00</t>
  </si>
  <si>
    <t xml:space="preserve">PMC447748M</t>
  </si>
  <si>
    <t xml:space="preserve">05:48:00</t>
  </si>
  <si>
    <t xml:space="preserve">770-34197501</t>
  </si>
  <si>
    <t xml:space="preserve">09:19:00</t>
  </si>
  <si>
    <t xml:space="preserve">07:42:00</t>
  </si>
  <si>
    <t xml:space="preserve">PMC379988M</t>
  </si>
  <si>
    <t xml:space="preserve">02:54:00</t>
  </si>
  <si>
    <t xml:space="preserve">770-27035439</t>
  </si>
  <si>
    <t xml:space="preserve">17:58:00</t>
  </si>
  <si>
    <t xml:space="preserve">16:20:00</t>
  </si>
  <si>
    <t xml:space="preserve">11:53:00</t>
  </si>
  <si>
    <t xml:space="preserve">PMC155418M</t>
  </si>
  <si>
    <t xml:space="preserve">06:39:00</t>
  </si>
  <si>
    <t xml:space="preserve">770-44497083</t>
  </si>
  <si>
    <t xml:space="preserve">11:13:00</t>
  </si>
  <si>
    <t xml:space="preserve">PMC923978M</t>
  </si>
  <si>
    <t xml:space="preserve">04:13:00</t>
  </si>
  <si>
    <t xml:space="preserve">770-66064192P</t>
  </si>
  <si>
    <t xml:space="preserve">770-19200189A</t>
  </si>
  <si>
    <t xml:space="preserve">770-16931896P</t>
  </si>
  <si>
    <t xml:space="preserve">770-72410311P</t>
  </si>
  <si>
    <t xml:space="preserve">770-65342187P</t>
  </si>
  <si>
    <t xml:space="preserve">770-87868830P</t>
  </si>
  <si>
    <t xml:space="preserve">770-34693750A</t>
  </si>
  <si>
    <t xml:space="preserve">770-90996810A</t>
  </si>
  <si>
    <t xml:space="preserve">770-10254264P</t>
  </si>
  <si>
    <t xml:space="preserve">770-81159921P</t>
  </si>
  <si>
    <t xml:space="preserve">770-71993261P</t>
  </si>
  <si>
    <t xml:space="preserve">770-25764652P</t>
  </si>
  <si>
    <t xml:space="preserve">770-50064896P</t>
  </si>
  <si>
    <t xml:space="preserve">770-61886125P</t>
  </si>
  <si>
    <t xml:space="preserve">770-49811413A</t>
  </si>
  <si>
    <t xml:space="preserve">770-94593130P</t>
  </si>
  <si>
    <t xml:space="preserve">770-98188201A</t>
  </si>
  <si>
    <t xml:space="preserve">770-69956299P</t>
  </si>
  <si>
    <t xml:space="preserve">770-11531594A</t>
  </si>
  <si>
    <t xml:space="preserve">770-96085903P</t>
  </si>
  <si>
    <t xml:space="preserve">770-44278393A</t>
  </si>
  <si>
    <t xml:space="preserve">770-27501823A</t>
  </si>
  <si>
    <t xml:space="preserve">770-18402363P</t>
  </si>
  <si>
    <t xml:space="preserve">770-55733477P</t>
  </si>
  <si>
    <t xml:space="preserve">770-22753885P</t>
  </si>
  <si>
    <t xml:space="preserve">770-82354218P</t>
  </si>
  <si>
    <t xml:space="preserve">770-16692679P</t>
  </si>
  <si>
    <t xml:space="preserve">770-94838522P</t>
  </si>
  <si>
    <t xml:space="preserve">770-79584240P</t>
  </si>
  <si>
    <t xml:space="preserve">770-42237357P</t>
  </si>
  <si>
    <t xml:space="preserve">770-74047083A</t>
  </si>
  <si>
    <t xml:space="preserve">770-43394067P</t>
  </si>
  <si>
    <t xml:space="preserve">770-39354944P</t>
  </si>
  <si>
    <t xml:space="preserve">770-27326166P</t>
  </si>
  <si>
    <t xml:space="preserve">770-82092550P</t>
  </si>
  <si>
    <t xml:space="preserve">770-13535363A</t>
  </si>
  <si>
    <t xml:space="preserve">770-30851714A</t>
  </si>
  <si>
    <t xml:space="preserve">770-91063214P</t>
  </si>
  <si>
    <t xml:space="preserve">770-49046219P</t>
  </si>
  <si>
    <t xml:space="preserve">770-19036220P</t>
  </si>
  <si>
    <t xml:space="preserve">770-14228556P</t>
  </si>
  <si>
    <t xml:space="preserve">770-42215983P</t>
  </si>
  <si>
    <t xml:space="preserve">770-42895158P</t>
  </si>
  <si>
    <t xml:space="preserve">770-73132620P</t>
  </si>
  <si>
    <t xml:space="preserve">770-78552559P</t>
  </si>
  <si>
    <t xml:space="preserve">770-15070724P</t>
  </si>
  <si>
    <t xml:space="preserve">770-13020515P</t>
  </si>
  <si>
    <t xml:space="preserve">770-70745190P</t>
  </si>
  <si>
    <t xml:space="preserve">770-71321710A</t>
  </si>
  <si>
    <t xml:space="preserve">770-85294546P</t>
  </si>
  <si>
    <t xml:space="preserve">770-51836914P</t>
  </si>
  <si>
    <t xml:space="preserve">770-43878253A</t>
  </si>
  <si>
    <t xml:space="preserve">770-83112434P</t>
  </si>
  <si>
    <t xml:space="preserve">770-59180941P</t>
  </si>
  <si>
    <t xml:space="preserve">770-85552710P</t>
  </si>
  <si>
    <t xml:space="preserve">770-79365544A</t>
  </si>
  <si>
    <t xml:space="preserve">770-67370112P</t>
  </si>
  <si>
    <t xml:space="preserve">770-57633800A</t>
  </si>
  <si>
    <t xml:space="preserve">770-95136526P</t>
  </si>
  <si>
    <t xml:space="preserve">770-24163137P</t>
  </si>
  <si>
    <t xml:space="preserve">770-34250020P</t>
  </si>
  <si>
    <t xml:space="preserve">770-91178918P</t>
  </si>
  <si>
    <t xml:space="preserve">770-39313735A</t>
  </si>
  <si>
    <t xml:space="preserve">770-69931639P</t>
  </si>
  <si>
    <t xml:space="preserve">770-94390878P</t>
  </si>
  <si>
    <t xml:space="preserve">770-76136431A</t>
  </si>
  <si>
    <t xml:space="preserve">770-38950859P</t>
  </si>
  <si>
    <t xml:space="preserve">770-38396949P</t>
  </si>
  <si>
    <t xml:space="preserve">770-74560524P</t>
  </si>
  <si>
    <t xml:space="preserve">770-34197501P</t>
  </si>
  <si>
    <t xml:space="preserve">770-27035439A</t>
  </si>
  <si>
    <t xml:space="preserve">770-44497083P</t>
  </si>
  <si>
    <t xml:space="preserve">TRANSFER TO OTHER CARRIER</t>
  </si>
  <si>
    <t xml:space="preserve">GROSS WGHT</t>
  </si>
  <si>
    <t xml:space="preserve">CHARGEABLE WGHT</t>
  </si>
  <si>
    <t xml:space="preserve">TRANSFER TO OTHER CARRIER HANDLING</t>
  </si>
  <si>
    <t xml:space="preserve">TRANSFER XRAY USAGE CHARGES</t>
  </si>
  <si>
    <t xml:space="preserve">TRANSFER PALLETIZATION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</si>
</sst>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0" min="1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customFormat="false" ht="15" hidden="false" customHeight="false" outlineLevel="0" collapsed="false">
      <c r="A2" s="0" t="s">
        <v>29</v>
      </c>
      <c r="B2" s="2" t="n">
        <v>46054</v>
      </c>
      <c r="C2" s="3" t="s">
        <v>30</v>
      </c>
      <c r="D2" s="3" t="s">
        <v>31</v>
      </c>
      <c r="E2" s="3" t="s">
        <v>32</v>
      </c>
      <c r="F2" s="3" t="s">
        <v>33</v>
      </c>
      <c r="G2" s="0" t="n">
        <v>159</v>
      </c>
      <c r="H2" s="0" t="n">
        <v>2222.67</v>
      </c>
      <c r="I2" s="0" t="n">
        <v>2889.63</v>
      </c>
      <c r="J2" s="2" t="n">
        <v>46052</v>
      </c>
      <c r="K2" s="3" t="s">
        <v>34</v>
      </c>
      <c r="L2" s="2" t="n">
        <v>46052</v>
      </c>
      <c r="M2" s="3" t="s">
        <v>35</v>
      </c>
      <c r="N2" s="2" t="n">
        <v>46053</v>
      </c>
      <c r="O2" s="3" t="s">
        <v>36</v>
      </c>
      <c r="P2" s="3" t="s">
        <v>37</v>
      </c>
      <c r="Q2" s="2" t="n">
        <v>46054</v>
      </c>
      <c r="R2" s="3" t="s">
        <v>38</v>
      </c>
      <c r="S2" s="3" t="s">
        <v>39</v>
      </c>
      <c r="T2" s="3" t="s">
        <v>40</v>
      </c>
      <c r="U2" s="3" t="s">
        <v>40</v>
      </c>
      <c r="V2" s="3" t="s">
        <v>40</v>
      </c>
      <c r="X2" s="0" t="n">
        <v>1.5</v>
      </c>
      <c r="Y2" s="0" t="n">
        <v>1.1897</v>
      </c>
      <c r="Z2" s="0" t="n">
        <v>-1</v>
      </c>
      <c r="AA2" s="0" t="n">
        <v>3</v>
      </c>
      <c r="AB2" s="4" t="n">
        <f aca="false">I2*AA2*Z2</f>
        <v>-8668.89</v>
      </c>
      <c r="AC2" s="4" t="n">
        <f aca="false">AB2*1.18</f>
        <v>-10229.2902</v>
      </c>
      <c r="AD2" s="0" t="n">
        <v>0</v>
      </c>
    </row>
    <row r="3" customFormat="false" ht="15" hidden="false" customHeight="false" outlineLevel="0" collapsed="false">
      <c r="A3" s="0" t="s">
        <v>29</v>
      </c>
      <c r="B3" s="2" t="n">
        <v>46054</v>
      </c>
      <c r="C3" s="3" t="s">
        <v>41</v>
      </c>
      <c r="D3" s="3" t="s">
        <v>31</v>
      </c>
      <c r="E3" s="3" t="s">
        <v>32</v>
      </c>
      <c r="F3" s="3" t="s">
        <v>33</v>
      </c>
      <c r="G3" s="0" t="n">
        <v>134</v>
      </c>
      <c r="H3" s="0" t="n">
        <v>1945.7</v>
      </c>
      <c r="I3" s="0" t="n">
        <v>2140.71</v>
      </c>
      <c r="J3" s="2" t="n">
        <v>46051</v>
      </c>
      <c r="K3" s="3" t="s">
        <v>42</v>
      </c>
      <c r="L3" s="2" t="n">
        <v>46051</v>
      </c>
      <c r="M3" s="3" t="s">
        <v>43</v>
      </c>
      <c r="N3" s="2" t="n">
        <v>46052</v>
      </c>
      <c r="O3" s="3" t="s">
        <v>44</v>
      </c>
      <c r="P3" s="3" t="s">
        <v>45</v>
      </c>
      <c r="Q3" s="2" t="n">
        <v>46054</v>
      </c>
      <c r="R3" s="3" t="s">
        <v>46</v>
      </c>
      <c r="S3" s="3" t="s">
        <v>47</v>
      </c>
      <c r="T3" s="3" t="s">
        <v>40</v>
      </c>
      <c r="U3" s="3" t="s">
        <v>40</v>
      </c>
      <c r="V3" s="3" t="s">
        <v>40</v>
      </c>
      <c r="X3" s="0" t="n">
        <v>1.5</v>
      </c>
      <c r="Y3" s="0" t="n">
        <v>5.1961</v>
      </c>
      <c r="Z3" s="0" t="n">
        <v>4</v>
      </c>
      <c r="AA3" s="0" t="n">
        <v>3</v>
      </c>
      <c r="AB3" s="4" t="n">
        <f aca="false">I3*AA3*Z3</f>
        <v>25688.52</v>
      </c>
      <c r="AC3" s="4" t="n">
        <f aca="false">AB3*1.18</f>
        <v>30312.4536</v>
      </c>
      <c r="AD3" s="0" t="n">
        <v>0</v>
      </c>
    </row>
    <row r="4" customFormat="false" ht="15" hidden="false" customHeight="false" outlineLevel="0" collapsed="false">
      <c r="A4" s="0" t="s">
        <v>29</v>
      </c>
      <c r="B4" s="2" t="n">
        <v>46055</v>
      </c>
      <c r="C4" s="3" t="s">
        <v>48</v>
      </c>
      <c r="D4" s="3" t="s">
        <v>31</v>
      </c>
      <c r="E4" s="3" t="s">
        <v>32</v>
      </c>
      <c r="F4" s="3" t="s">
        <v>33</v>
      </c>
      <c r="G4" s="0" t="n">
        <v>197</v>
      </c>
      <c r="H4" s="0" t="n">
        <v>276.59</v>
      </c>
      <c r="I4" s="0" t="n">
        <v>276.66</v>
      </c>
      <c r="J4" s="2" t="n">
        <v>46052</v>
      </c>
      <c r="K4" s="3" t="s">
        <v>49</v>
      </c>
      <c r="L4" s="2" t="n">
        <v>46053</v>
      </c>
      <c r="M4" s="3" t="s">
        <v>50</v>
      </c>
      <c r="N4" s="2" t="n">
        <v>46052</v>
      </c>
      <c r="O4" s="3" t="s">
        <v>51</v>
      </c>
      <c r="P4" s="3" t="s">
        <v>52</v>
      </c>
      <c r="Q4" s="2" t="n">
        <v>46055</v>
      </c>
      <c r="R4" s="3" t="s">
        <v>53</v>
      </c>
      <c r="S4" s="3" t="s">
        <v>54</v>
      </c>
      <c r="T4" s="3" t="s">
        <v>40</v>
      </c>
      <c r="U4" s="3" t="s">
        <v>40</v>
      </c>
      <c r="V4" s="3" t="s">
        <v>40</v>
      </c>
      <c r="X4" s="0" t="n">
        <v>1.5</v>
      </c>
      <c r="Y4" s="0" t="n">
        <v>4.1868</v>
      </c>
      <c r="Z4" s="0" t="n">
        <v>3</v>
      </c>
      <c r="AA4" s="0" t="n">
        <v>3</v>
      </c>
      <c r="AB4" s="4" t="n">
        <f aca="false">I4*AA4*Z4</f>
        <v>2489.94</v>
      </c>
      <c r="AC4" s="4" t="n">
        <f aca="false">AB4*1.18</f>
        <v>2938.1292</v>
      </c>
      <c r="AD4" s="0" t="n">
        <v>0</v>
      </c>
    </row>
    <row r="5" customFormat="false" ht="15" hidden="false" customHeight="false" outlineLevel="0" collapsed="false">
      <c r="A5" s="0" t="s">
        <v>29</v>
      </c>
      <c r="B5" s="2" t="n">
        <v>46055</v>
      </c>
      <c r="C5" s="3" t="s">
        <v>55</v>
      </c>
      <c r="D5" s="3" t="s">
        <v>31</v>
      </c>
      <c r="E5" s="3" t="s">
        <v>32</v>
      </c>
      <c r="F5" s="3" t="s">
        <v>33</v>
      </c>
      <c r="G5" s="0" t="n">
        <v>218</v>
      </c>
      <c r="H5" s="0" t="n">
        <v>2243.26</v>
      </c>
      <c r="I5" s="0" t="n">
        <v>3365.02</v>
      </c>
      <c r="J5" s="2" t="n">
        <v>46054</v>
      </c>
      <c r="K5" s="3" t="s">
        <v>56</v>
      </c>
      <c r="L5" s="2" t="n">
        <v>46054</v>
      </c>
      <c r="M5" s="3" t="s">
        <v>57</v>
      </c>
      <c r="N5" s="2" t="n">
        <v>46055</v>
      </c>
      <c r="O5" s="3" t="s">
        <v>58</v>
      </c>
      <c r="P5" s="3" t="s">
        <v>59</v>
      </c>
      <c r="Q5" s="2" t="n">
        <v>46055</v>
      </c>
      <c r="R5" s="3" t="s">
        <v>60</v>
      </c>
      <c r="S5" s="3" t="s">
        <v>61</v>
      </c>
      <c r="T5" s="3" t="s">
        <v>40</v>
      </c>
      <c r="U5" s="3" t="s">
        <v>40</v>
      </c>
      <c r="V5" s="3" t="s">
        <v>40</v>
      </c>
      <c r="X5" s="0" t="n">
        <v>1.5</v>
      </c>
      <c r="Y5" s="0" t="n">
        <v>1.8315</v>
      </c>
      <c r="Z5" s="0" t="n">
        <v>1</v>
      </c>
      <c r="AA5" s="0" t="n">
        <v>3</v>
      </c>
      <c r="AB5" s="4" t="n">
        <f aca="false">I5*AA5*Z5</f>
        <v>10095.06</v>
      </c>
      <c r="AC5" s="4" t="n">
        <f aca="false">AB5*1.18</f>
        <v>11912.1708</v>
      </c>
      <c r="AD5" s="0" t="n">
        <v>0</v>
      </c>
    </row>
    <row r="6" customFormat="false" ht="15" hidden="false" customHeight="false" outlineLevel="0" collapsed="false">
      <c r="A6" s="0" t="s">
        <v>62</v>
      </c>
      <c r="B6" s="2" t="n">
        <v>46055</v>
      </c>
      <c r="C6" s="3" t="s">
        <v>63</v>
      </c>
      <c r="D6" s="3" t="s">
        <v>31</v>
      </c>
      <c r="E6" s="3" t="s">
        <v>32</v>
      </c>
      <c r="F6" s="3" t="s">
        <v>33</v>
      </c>
      <c r="G6" s="0" t="n">
        <v>78</v>
      </c>
      <c r="H6" s="0" t="n">
        <v>433.67</v>
      </c>
      <c r="I6" s="0" t="n">
        <v>434.03</v>
      </c>
      <c r="J6" s="2" t="n">
        <v>46054</v>
      </c>
      <c r="K6" s="3" t="s">
        <v>64</v>
      </c>
      <c r="L6" s="2" t="n">
        <v>46054</v>
      </c>
      <c r="M6" s="3" t="s">
        <v>65</v>
      </c>
      <c r="N6" s="2" t="n">
        <v>46054</v>
      </c>
      <c r="O6" s="3" t="s">
        <v>66</v>
      </c>
      <c r="P6" s="3" t="s">
        <v>67</v>
      </c>
      <c r="Q6" s="2" t="n">
        <v>46055</v>
      </c>
      <c r="R6" s="3" t="s">
        <v>68</v>
      </c>
      <c r="S6" s="3" t="s">
        <v>69</v>
      </c>
      <c r="T6" s="3" t="s">
        <v>40</v>
      </c>
      <c r="U6" s="3" t="s">
        <v>40</v>
      </c>
      <c r="V6" s="3" t="s">
        <v>40</v>
      </c>
      <c r="X6" s="0" t="n">
        <v>1.5</v>
      </c>
      <c r="Y6" s="0" t="n">
        <v>4.824</v>
      </c>
      <c r="Z6" s="0" t="n">
        <v>3</v>
      </c>
      <c r="AA6" s="0" t="n">
        <v>3</v>
      </c>
      <c r="AB6" s="4" t="n">
        <f aca="false">I6*AA6*Z6</f>
        <v>3906.27</v>
      </c>
      <c r="AC6" s="4" t="n">
        <f aca="false">AB6*1.18</f>
        <v>4609.3986</v>
      </c>
      <c r="AD6" s="0" t="n">
        <v>0</v>
      </c>
    </row>
    <row r="7" customFormat="false" ht="15" hidden="false" customHeight="false" outlineLevel="0" collapsed="false">
      <c r="A7" s="0" t="s">
        <v>62</v>
      </c>
      <c r="B7" s="2" t="n">
        <v>46055</v>
      </c>
      <c r="C7" s="3" t="s">
        <v>70</v>
      </c>
      <c r="D7" s="3" t="s">
        <v>31</v>
      </c>
      <c r="E7" s="3" t="s">
        <v>32</v>
      </c>
      <c r="F7" s="3" t="s">
        <v>33</v>
      </c>
      <c r="G7" s="0" t="n">
        <v>112</v>
      </c>
      <c r="H7" s="0" t="n">
        <v>2967.48</v>
      </c>
      <c r="I7" s="0" t="n">
        <v>2967.71</v>
      </c>
      <c r="J7" s="2" t="n">
        <v>46052</v>
      </c>
      <c r="K7" s="3" t="s">
        <v>71</v>
      </c>
      <c r="L7" s="2" t="n">
        <v>46052</v>
      </c>
      <c r="M7" s="3" t="s">
        <v>72</v>
      </c>
      <c r="N7" s="2" t="n">
        <v>46052</v>
      </c>
      <c r="O7" s="3" t="s">
        <v>73</v>
      </c>
      <c r="P7" s="3" t="s">
        <v>74</v>
      </c>
      <c r="Q7" s="2" t="n">
        <v>46055</v>
      </c>
      <c r="R7" s="3" t="s">
        <v>75</v>
      </c>
      <c r="S7" s="3" t="s">
        <v>39</v>
      </c>
      <c r="T7" s="3" t="s">
        <v>40</v>
      </c>
      <c r="U7" s="3" t="s">
        <v>40</v>
      </c>
      <c r="V7" s="3" t="s">
        <v>40</v>
      </c>
      <c r="X7" s="0" t="n">
        <v>1.5</v>
      </c>
      <c r="Y7" s="0" t="n">
        <v>3.3952</v>
      </c>
      <c r="Z7" s="0" t="n">
        <v>2</v>
      </c>
      <c r="AA7" s="0" t="n">
        <v>3</v>
      </c>
      <c r="AB7" s="4" t="n">
        <f aca="false">I7*AA7*Z7</f>
        <v>17806.26</v>
      </c>
      <c r="AC7" s="4" t="n">
        <f aca="false">AB7*1.18</f>
        <v>21011.3868</v>
      </c>
      <c r="AD7" s="0" t="n">
        <v>0</v>
      </c>
    </row>
    <row r="8" customFormat="false" ht="15" hidden="false" customHeight="false" outlineLevel="0" collapsed="false">
      <c r="A8" s="0" t="s">
        <v>62</v>
      </c>
      <c r="B8" s="2" t="n">
        <v>46055</v>
      </c>
      <c r="C8" s="3" t="s">
        <v>76</v>
      </c>
      <c r="D8" s="3" t="s">
        <v>31</v>
      </c>
      <c r="E8" s="3" t="s">
        <v>32</v>
      </c>
      <c r="F8" s="3" t="s">
        <v>33</v>
      </c>
      <c r="G8" s="0" t="n">
        <v>169</v>
      </c>
      <c r="H8" s="0" t="n">
        <v>2089.72</v>
      </c>
      <c r="I8" s="0" t="n">
        <v>2090.17</v>
      </c>
      <c r="J8" s="2" t="n">
        <v>46054</v>
      </c>
      <c r="K8" s="3" t="s">
        <v>77</v>
      </c>
      <c r="L8" s="2" t="n">
        <v>46054</v>
      </c>
      <c r="M8" s="3" t="s">
        <v>78</v>
      </c>
      <c r="N8" s="2" t="n">
        <v>46054</v>
      </c>
      <c r="O8" s="3" t="s">
        <v>79</v>
      </c>
      <c r="P8" s="3" t="s">
        <v>80</v>
      </c>
      <c r="Q8" s="2" t="n">
        <v>46055</v>
      </c>
      <c r="R8" s="3" t="s">
        <v>81</v>
      </c>
      <c r="S8" s="3" t="s">
        <v>47</v>
      </c>
      <c r="T8" s="3" t="s">
        <v>82</v>
      </c>
      <c r="U8" s="3" t="s">
        <v>82</v>
      </c>
      <c r="V8" s="3" t="s">
        <v>82</v>
      </c>
      <c r="X8" s="0" t="n">
        <v>1.5</v>
      </c>
      <c r="Y8" s="0" t="n">
        <v>2.1937</v>
      </c>
      <c r="Z8" s="0" t="n">
        <v>1</v>
      </c>
      <c r="AA8" s="0" t="n">
        <v>5</v>
      </c>
      <c r="AB8" s="4" t="n">
        <f aca="false">I8*AA8*Z8</f>
        <v>10450.85</v>
      </c>
      <c r="AC8" s="4" t="n">
        <f aca="false">AB8*1.18</f>
        <v>12332.003</v>
      </c>
      <c r="AD8" s="0" t="n">
        <v>0</v>
      </c>
    </row>
    <row r="9" customFormat="false" ht="15" hidden="false" customHeight="false" outlineLevel="0" collapsed="false">
      <c r="A9" s="0" t="s">
        <v>62</v>
      </c>
      <c r="B9" s="2" t="n">
        <v>46055</v>
      </c>
      <c r="C9" s="3" t="s">
        <v>83</v>
      </c>
      <c r="D9" s="3" t="s">
        <v>84</v>
      </c>
      <c r="E9" s="3" t="s">
        <v>32</v>
      </c>
      <c r="F9" s="3" t="s">
        <v>33</v>
      </c>
      <c r="G9" s="0" t="n">
        <v>66</v>
      </c>
      <c r="H9" s="0" t="n">
        <v>2347.52</v>
      </c>
      <c r="I9" s="0" t="n">
        <v>2347.87</v>
      </c>
      <c r="J9" s="2" t="n">
        <v>46053</v>
      </c>
      <c r="K9" s="3" t="s">
        <v>85</v>
      </c>
      <c r="L9" s="2" t="n">
        <v>46053</v>
      </c>
      <c r="M9" s="3" t="s">
        <v>86</v>
      </c>
      <c r="N9" s="2" t="n">
        <v>46054</v>
      </c>
      <c r="O9" s="3" t="s">
        <v>87</v>
      </c>
      <c r="P9" s="3" t="s">
        <v>88</v>
      </c>
      <c r="Q9" s="2" t="n">
        <v>46055</v>
      </c>
      <c r="R9" s="3" t="s">
        <v>89</v>
      </c>
      <c r="S9" s="3" t="s">
        <v>39</v>
      </c>
      <c r="T9" s="3" t="s">
        <v>90</v>
      </c>
      <c r="U9" s="3" t="s">
        <v>90</v>
      </c>
      <c r="V9" s="3" t="s">
        <v>90</v>
      </c>
      <c r="X9" s="0" t="n">
        <v>1.5</v>
      </c>
      <c r="Y9" s="0" t="n">
        <v>0.8561</v>
      </c>
      <c r="Z9" s="0" t="n">
        <v>-1</v>
      </c>
      <c r="AA9" s="0" t="n">
        <v>3</v>
      </c>
      <c r="AB9" s="4" t="n">
        <f aca="false">I9*AA9*Z9</f>
        <v>-7043.61</v>
      </c>
      <c r="AC9" s="4" t="n">
        <f aca="false">AB9*1.18</f>
        <v>-8311.4598</v>
      </c>
      <c r="AD9" s="0" t="n">
        <v>0</v>
      </c>
    </row>
    <row r="10" customFormat="false" ht="15" hidden="false" customHeight="false" outlineLevel="0" collapsed="false">
      <c r="A10" s="0" t="s">
        <v>29</v>
      </c>
      <c r="B10" s="2" t="n">
        <v>46056</v>
      </c>
      <c r="C10" s="3" t="s">
        <v>91</v>
      </c>
      <c r="D10" s="3" t="s">
        <v>31</v>
      </c>
      <c r="E10" s="3" t="s">
        <v>32</v>
      </c>
      <c r="F10" s="3" t="s">
        <v>33</v>
      </c>
      <c r="G10" s="0" t="n">
        <v>71</v>
      </c>
      <c r="H10" s="0" t="n">
        <v>2434.63</v>
      </c>
      <c r="I10" s="0" t="n">
        <v>3165.39</v>
      </c>
      <c r="J10" s="2" t="n">
        <v>46055</v>
      </c>
      <c r="K10" s="3" t="s">
        <v>92</v>
      </c>
      <c r="L10" s="2" t="n">
        <v>46055</v>
      </c>
      <c r="M10" s="3" t="s">
        <v>93</v>
      </c>
      <c r="N10" s="2" t="n">
        <v>46055</v>
      </c>
      <c r="O10" s="3" t="s">
        <v>94</v>
      </c>
      <c r="P10" s="3" t="s">
        <v>95</v>
      </c>
      <c r="Q10" s="2" t="n">
        <v>46056</v>
      </c>
      <c r="R10" s="3" t="s">
        <v>96</v>
      </c>
      <c r="S10" s="3" t="s">
        <v>54</v>
      </c>
      <c r="T10" s="3" t="s">
        <v>90</v>
      </c>
      <c r="U10" s="3" t="s">
        <v>90</v>
      </c>
      <c r="V10" s="3" t="s">
        <v>90</v>
      </c>
      <c r="X10" s="0" t="n">
        <v>1.5</v>
      </c>
      <c r="Y10" s="0" t="n">
        <v>3.6949</v>
      </c>
      <c r="Z10" s="0" t="n">
        <v>2</v>
      </c>
      <c r="AA10" s="0" t="n">
        <v>3</v>
      </c>
      <c r="AB10" s="4" t="n">
        <f aca="false">I10*AA10*Z10</f>
        <v>18992.34</v>
      </c>
      <c r="AC10" s="4" t="n">
        <f aca="false">AB10*1.18</f>
        <v>22410.9612</v>
      </c>
      <c r="AD10" s="0" t="n">
        <v>0</v>
      </c>
    </row>
    <row r="11" customFormat="false" ht="15" hidden="false" customHeight="false" outlineLevel="0" collapsed="false">
      <c r="A11" s="0" t="s">
        <v>29</v>
      </c>
      <c r="B11" s="2" t="n">
        <v>46056</v>
      </c>
      <c r="C11" s="3" t="s">
        <v>97</v>
      </c>
      <c r="D11" s="3" t="s">
        <v>31</v>
      </c>
      <c r="E11" s="3" t="s">
        <v>32</v>
      </c>
      <c r="F11" s="3" t="s">
        <v>33</v>
      </c>
      <c r="G11" s="0" t="n">
        <v>120</v>
      </c>
      <c r="H11" s="0" t="n">
        <v>2198.03</v>
      </c>
      <c r="I11" s="0" t="n">
        <v>2198.09</v>
      </c>
      <c r="J11" s="2" t="n">
        <v>46053</v>
      </c>
      <c r="K11" s="3" t="s">
        <v>98</v>
      </c>
      <c r="L11" s="2" t="n">
        <v>46053</v>
      </c>
      <c r="M11" s="3" t="s">
        <v>99</v>
      </c>
      <c r="N11" s="2" t="n">
        <v>46053</v>
      </c>
      <c r="O11" s="3" t="s">
        <v>100</v>
      </c>
      <c r="P11" s="3" t="s">
        <v>101</v>
      </c>
      <c r="Q11" s="2" t="n">
        <v>46056</v>
      </c>
      <c r="R11" s="3" t="s">
        <v>102</v>
      </c>
      <c r="S11" s="3" t="s">
        <v>47</v>
      </c>
      <c r="T11" s="3" t="s">
        <v>40</v>
      </c>
      <c r="U11" s="3" t="s">
        <v>40</v>
      </c>
      <c r="V11" s="3" t="s">
        <v>40</v>
      </c>
      <c r="X11" s="0" t="n">
        <v>1.5</v>
      </c>
      <c r="Y11" s="0" t="n">
        <v>2.6604</v>
      </c>
      <c r="Z11" s="0" t="n">
        <v>1</v>
      </c>
      <c r="AA11" s="0" t="n">
        <v>3</v>
      </c>
      <c r="AB11" s="4" t="n">
        <f aca="false">I11*AA11*Z11</f>
        <v>6594.27</v>
      </c>
      <c r="AC11" s="4" t="n">
        <f aca="false">AB11*1.18</f>
        <v>7781.2386</v>
      </c>
      <c r="AD11" s="0" t="n">
        <v>0</v>
      </c>
    </row>
    <row r="12" customFormat="false" ht="15" hidden="false" customHeight="false" outlineLevel="0" collapsed="false">
      <c r="A12" s="0" t="s">
        <v>62</v>
      </c>
      <c r="B12" s="2" t="n">
        <v>46056</v>
      </c>
      <c r="C12" s="3" t="s">
        <v>103</v>
      </c>
      <c r="D12" s="3" t="s">
        <v>31</v>
      </c>
      <c r="E12" s="3" t="s">
        <v>32</v>
      </c>
      <c r="F12" s="3" t="s">
        <v>33</v>
      </c>
      <c r="G12" s="0" t="n">
        <v>191</v>
      </c>
      <c r="H12" s="0" t="n">
        <v>3007.18</v>
      </c>
      <c r="I12" s="0" t="n">
        <v>3007.39</v>
      </c>
      <c r="J12" s="2" t="n">
        <v>46054</v>
      </c>
      <c r="K12" s="3" t="s">
        <v>104</v>
      </c>
      <c r="L12" s="2" t="n">
        <v>46054</v>
      </c>
      <c r="M12" s="3" t="s">
        <v>105</v>
      </c>
      <c r="N12" s="2" t="n">
        <v>46054</v>
      </c>
      <c r="O12" s="3" t="s">
        <v>106</v>
      </c>
      <c r="P12" s="3" t="s">
        <v>107</v>
      </c>
      <c r="Q12" s="2" t="n">
        <v>46056</v>
      </c>
      <c r="R12" s="3" t="s">
        <v>108</v>
      </c>
      <c r="S12" s="3" t="s">
        <v>109</v>
      </c>
      <c r="T12" s="3" t="s">
        <v>40</v>
      </c>
      <c r="U12" s="3" t="s">
        <v>40</v>
      </c>
      <c r="V12" s="3" t="s">
        <v>40</v>
      </c>
      <c r="X12" s="0" t="n">
        <v>1.5</v>
      </c>
      <c r="Y12" s="0" t="n">
        <v>0.7454</v>
      </c>
      <c r="Z12" s="0" t="n">
        <v>-1</v>
      </c>
      <c r="AA12" s="0" t="n">
        <v>3</v>
      </c>
      <c r="AB12" s="4" t="n">
        <f aca="false">I12*AA12*Z12</f>
        <v>-9022.17</v>
      </c>
      <c r="AC12" s="4" t="n">
        <f aca="false">AB12*1.18</f>
        <v>-10646.1606</v>
      </c>
      <c r="AD12" s="0" t="n">
        <v>0</v>
      </c>
    </row>
    <row r="13" customFormat="false" ht="15" hidden="false" customHeight="false" outlineLevel="0" collapsed="false">
      <c r="A13" s="0" t="s">
        <v>62</v>
      </c>
      <c r="B13" s="2" t="n">
        <v>46056</v>
      </c>
      <c r="C13" s="3" t="s">
        <v>110</v>
      </c>
      <c r="D13" s="3" t="s">
        <v>84</v>
      </c>
      <c r="E13" s="3" t="s">
        <v>32</v>
      </c>
      <c r="F13" s="3" t="s">
        <v>33</v>
      </c>
      <c r="G13" s="0" t="n">
        <v>61</v>
      </c>
      <c r="H13" s="0" t="n">
        <v>279.94</v>
      </c>
      <c r="I13" s="0" t="n">
        <v>308.02</v>
      </c>
      <c r="J13" s="2" t="n">
        <v>46054</v>
      </c>
      <c r="K13" s="3" t="s">
        <v>111</v>
      </c>
      <c r="L13" s="2" t="n">
        <v>46055</v>
      </c>
      <c r="M13" s="3" t="s">
        <v>85</v>
      </c>
      <c r="N13" s="2" t="n">
        <v>46054</v>
      </c>
      <c r="O13" s="3" t="s">
        <v>112</v>
      </c>
      <c r="P13" s="3" t="s">
        <v>113</v>
      </c>
      <c r="Q13" s="2" t="n">
        <v>46056</v>
      </c>
      <c r="R13" s="3" t="s">
        <v>114</v>
      </c>
      <c r="S13" s="3" t="s">
        <v>115</v>
      </c>
      <c r="T13" s="3" t="s">
        <v>40</v>
      </c>
      <c r="U13" s="3" t="s">
        <v>40</v>
      </c>
      <c r="V13" s="3" t="s">
        <v>40</v>
      </c>
      <c r="X13" s="0" t="n">
        <v>1.5</v>
      </c>
      <c r="Y13" s="0" t="n">
        <v>2.8114</v>
      </c>
      <c r="Z13" s="0" t="n">
        <v>1</v>
      </c>
      <c r="AA13" s="0" t="n">
        <v>3</v>
      </c>
      <c r="AB13" s="4" t="n">
        <f aca="false">I13*AA13*Z13</f>
        <v>924.06</v>
      </c>
      <c r="AC13" s="4" t="n">
        <f aca="false">AB13*1.18</f>
        <v>1090.3908</v>
      </c>
      <c r="AD13" s="0" t="n">
        <v>0</v>
      </c>
    </row>
    <row r="14" customFormat="false" ht="15" hidden="false" customHeight="false" outlineLevel="0" collapsed="false">
      <c r="A14" s="0" t="s">
        <v>62</v>
      </c>
      <c r="B14" s="2" t="n">
        <v>46056</v>
      </c>
      <c r="C14" s="3" t="s">
        <v>116</v>
      </c>
      <c r="D14" s="3" t="s">
        <v>31</v>
      </c>
      <c r="E14" s="3" t="s">
        <v>32</v>
      </c>
      <c r="F14" s="3" t="s">
        <v>33</v>
      </c>
      <c r="G14" s="0" t="n">
        <v>141</v>
      </c>
      <c r="H14" s="0" t="n">
        <v>512.26</v>
      </c>
      <c r="I14" s="0" t="n">
        <v>666.36</v>
      </c>
      <c r="J14" s="2" t="n">
        <v>46054</v>
      </c>
      <c r="K14" s="3" t="s">
        <v>117</v>
      </c>
      <c r="L14" s="2" t="n">
        <v>46054</v>
      </c>
      <c r="M14" s="3" t="s">
        <v>118</v>
      </c>
      <c r="N14" s="2" t="n">
        <v>46054</v>
      </c>
      <c r="O14" s="3" t="s">
        <v>119</v>
      </c>
      <c r="P14" s="3" t="s">
        <v>120</v>
      </c>
      <c r="Q14" s="2" t="n">
        <v>46056</v>
      </c>
      <c r="R14" s="3" t="s">
        <v>121</v>
      </c>
      <c r="S14" s="3" t="s">
        <v>122</v>
      </c>
      <c r="T14" s="3" t="s">
        <v>40</v>
      </c>
      <c r="U14" s="3" t="s">
        <v>40</v>
      </c>
      <c r="V14" s="3" t="s">
        <v>40</v>
      </c>
      <c r="X14" s="0" t="n">
        <v>1.5</v>
      </c>
      <c r="Y14" s="0" t="n">
        <v>5.3281</v>
      </c>
      <c r="Z14" s="0" t="n">
        <v>4</v>
      </c>
      <c r="AA14" s="0" t="n">
        <v>3</v>
      </c>
      <c r="AB14" s="4" t="n">
        <f aca="false">I14*AA14*Z14</f>
        <v>7996.32</v>
      </c>
      <c r="AC14" s="4" t="n">
        <f aca="false">AB14*1.18</f>
        <v>9435.6576</v>
      </c>
      <c r="AD14" s="0" t="n">
        <v>0</v>
      </c>
    </row>
    <row r="15" customFormat="false" ht="15" hidden="false" customHeight="false" outlineLevel="0" collapsed="false">
      <c r="A15" s="0" t="s">
        <v>62</v>
      </c>
      <c r="B15" s="2" t="n">
        <v>46056</v>
      </c>
      <c r="C15" s="3" t="s">
        <v>123</v>
      </c>
      <c r="D15" s="3" t="s">
        <v>31</v>
      </c>
      <c r="E15" s="3" t="s">
        <v>32</v>
      </c>
      <c r="F15" s="3" t="s">
        <v>33</v>
      </c>
      <c r="G15" s="0" t="n">
        <v>171</v>
      </c>
      <c r="H15" s="0" t="n">
        <v>2432.67</v>
      </c>
      <c r="I15" s="0" t="n">
        <v>2432.78</v>
      </c>
      <c r="J15" s="2" t="n">
        <v>46053</v>
      </c>
      <c r="K15" s="3" t="s">
        <v>124</v>
      </c>
      <c r="L15" s="2" t="n">
        <v>46053</v>
      </c>
      <c r="M15" s="3" t="s">
        <v>125</v>
      </c>
      <c r="N15" s="2" t="n">
        <v>46054</v>
      </c>
      <c r="O15" s="3" t="s">
        <v>126</v>
      </c>
      <c r="P15" s="3" t="s">
        <v>127</v>
      </c>
      <c r="Q15" s="2" t="n">
        <v>46056</v>
      </c>
      <c r="R15" s="3" t="s">
        <v>128</v>
      </c>
      <c r="S15" s="3" t="s">
        <v>122</v>
      </c>
      <c r="T15" s="3" t="s">
        <v>129</v>
      </c>
      <c r="U15" s="3" t="s">
        <v>129</v>
      </c>
      <c r="V15" s="3" t="s">
        <v>129</v>
      </c>
      <c r="X15" s="0" t="n">
        <v>1.5</v>
      </c>
      <c r="Y15" s="0" t="n">
        <v>5.1292</v>
      </c>
      <c r="Z15" s="0" t="n">
        <v>4</v>
      </c>
      <c r="AA15" s="0" t="n">
        <v>5</v>
      </c>
      <c r="AB15" s="4" t="n">
        <f aca="false">I15*AA15*Z15</f>
        <v>48655.6</v>
      </c>
      <c r="AC15" s="4" t="n">
        <f aca="false">AB15*1.18</f>
        <v>57413.608</v>
      </c>
      <c r="AD15" s="0" t="n">
        <v>0</v>
      </c>
    </row>
    <row r="16" customFormat="false" ht="15" hidden="false" customHeight="false" outlineLevel="0" collapsed="false">
      <c r="A16" s="0" t="s">
        <v>62</v>
      </c>
      <c r="B16" s="2" t="n">
        <v>46056</v>
      </c>
      <c r="C16" s="3" t="s">
        <v>130</v>
      </c>
      <c r="D16" s="3" t="s">
        <v>84</v>
      </c>
      <c r="E16" s="3" t="s">
        <v>32</v>
      </c>
      <c r="F16" s="3" t="s">
        <v>33</v>
      </c>
      <c r="G16" s="0" t="n">
        <v>26</v>
      </c>
      <c r="H16" s="0" t="n">
        <v>2799</v>
      </c>
      <c r="I16" s="0" t="n">
        <v>4198.94</v>
      </c>
      <c r="J16" s="2" t="n">
        <v>46055</v>
      </c>
      <c r="K16" s="3" t="s">
        <v>131</v>
      </c>
      <c r="L16" s="2" t="n">
        <v>46055</v>
      </c>
      <c r="M16" s="3" t="s">
        <v>132</v>
      </c>
      <c r="N16" s="2" t="n">
        <v>46055</v>
      </c>
      <c r="O16" s="3" t="s">
        <v>133</v>
      </c>
      <c r="P16" s="3" t="s">
        <v>134</v>
      </c>
      <c r="Q16" s="2" t="n">
        <v>46056</v>
      </c>
      <c r="R16" s="3" t="s">
        <v>135</v>
      </c>
      <c r="S16" s="3" t="s">
        <v>136</v>
      </c>
      <c r="T16" s="3" t="s">
        <v>40</v>
      </c>
      <c r="U16" s="3" t="s">
        <v>40</v>
      </c>
      <c r="V16" s="3" t="s">
        <v>40</v>
      </c>
      <c r="X16" s="0" t="n">
        <v>1.5</v>
      </c>
      <c r="Y16" s="0" t="n">
        <v>1.8515</v>
      </c>
      <c r="Z16" s="0" t="n">
        <v>1</v>
      </c>
      <c r="AA16" s="0" t="n">
        <v>3</v>
      </c>
      <c r="AB16" s="4" t="n">
        <f aca="false">I16*AA16*Z16</f>
        <v>12596.82</v>
      </c>
      <c r="AC16" s="4" t="n">
        <f aca="false">AB16*1.18</f>
        <v>14864.2476</v>
      </c>
      <c r="AD16" s="0" t="n">
        <v>0</v>
      </c>
    </row>
    <row r="17" customFormat="false" ht="15" hidden="false" customHeight="false" outlineLevel="0" collapsed="false">
      <c r="A17" s="0" t="s">
        <v>62</v>
      </c>
      <c r="B17" s="2" t="n">
        <v>46057</v>
      </c>
      <c r="C17" s="3" t="s">
        <v>137</v>
      </c>
      <c r="D17" s="3" t="s">
        <v>31</v>
      </c>
      <c r="E17" s="3" t="s">
        <v>32</v>
      </c>
      <c r="F17" s="3" t="s">
        <v>33</v>
      </c>
      <c r="G17" s="0" t="n">
        <v>19</v>
      </c>
      <c r="H17" s="0" t="n">
        <v>2049.23</v>
      </c>
      <c r="I17" s="0" t="n">
        <v>2049.53</v>
      </c>
      <c r="J17" s="2" t="n">
        <v>46055</v>
      </c>
      <c r="K17" s="3" t="s">
        <v>138</v>
      </c>
      <c r="L17" s="2" t="n">
        <v>46055</v>
      </c>
      <c r="M17" s="3" t="s">
        <v>139</v>
      </c>
      <c r="N17" s="2" t="n">
        <v>46056</v>
      </c>
      <c r="O17" s="3" t="s">
        <v>140</v>
      </c>
      <c r="P17" s="3" t="s">
        <v>141</v>
      </c>
      <c r="Q17" s="2" t="n">
        <v>46057</v>
      </c>
      <c r="R17" s="3" t="s">
        <v>100</v>
      </c>
      <c r="S17" s="3" t="s">
        <v>142</v>
      </c>
      <c r="T17" s="3" t="s">
        <v>40</v>
      </c>
      <c r="U17" s="3" t="s">
        <v>40</v>
      </c>
      <c r="V17" s="3" t="s">
        <v>40</v>
      </c>
      <c r="X17" s="0" t="n">
        <v>1.5</v>
      </c>
      <c r="Y17" s="0" t="n">
        <v>0.2904</v>
      </c>
      <c r="Z17" s="0" t="n">
        <v>-1</v>
      </c>
      <c r="AA17" s="0" t="n">
        <v>3</v>
      </c>
      <c r="AB17" s="4" t="n">
        <f aca="false">I17*AA17*Z17</f>
        <v>-6148.59</v>
      </c>
      <c r="AC17" s="4" t="n">
        <f aca="false">AB17*1.18</f>
        <v>-7255.3362</v>
      </c>
      <c r="AD17" s="0" t="n">
        <v>0</v>
      </c>
    </row>
    <row r="18" customFormat="false" ht="15" hidden="false" customHeight="false" outlineLevel="0" collapsed="false">
      <c r="A18" s="0" t="s">
        <v>62</v>
      </c>
      <c r="B18" s="2" t="n">
        <v>46057</v>
      </c>
      <c r="C18" s="3" t="s">
        <v>143</v>
      </c>
      <c r="D18" s="3" t="s">
        <v>84</v>
      </c>
      <c r="E18" s="3" t="s">
        <v>32</v>
      </c>
      <c r="F18" s="3" t="s">
        <v>33</v>
      </c>
      <c r="G18" s="0" t="n">
        <v>21</v>
      </c>
      <c r="H18" s="0" t="n">
        <v>1437.06</v>
      </c>
      <c r="I18" s="0" t="n">
        <v>1437.22</v>
      </c>
      <c r="J18" s="2" t="n">
        <v>46054</v>
      </c>
      <c r="K18" s="3" t="s">
        <v>144</v>
      </c>
      <c r="L18" s="2" t="n">
        <v>46054</v>
      </c>
      <c r="M18" s="3" t="s">
        <v>145</v>
      </c>
      <c r="N18" s="2" t="n">
        <v>46054</v>
      </c>
      <c r="O18" s="3" t="s">
        <v>146</v>
      </c>
      <c r="P18" s="3" t="s">
        <v>147</v>
      </c>
      <c r="Q18" s="2" t="n">
        <v>46057</v>
      </c>
      <c r="R18" s="3" t="s">
        <v>148</v>
      </c>
      <c r="S18" s="3" t="s">
        <v>149</v>
      </c>
      <c r="T18" s="3" t="s">
        <v>40</v>
      </c>
      <c r="U18" s="3" t="s">
        <v>40</v>
      </c>
      <c r="V18" s="3" t="s">
        <v>40</v>
      </c>
      <c r="X18" s="0" t="n">
        <v>1.5</v>
      </c>
      <c r="Y18" s="0" t="n">
        <v>2.178</v>
      </c>
      <c r="Z18" s="0" t="n">
        <v>1</v>
      </c>
      <c r="AA18" s="0" t="n">
        <v>3</v>
      </c>
      <c r="AB18" s="4" t="n">
        <f aca="false">I18*AA18*Z18</f>
        <v>4311.66</v>
      </c>
      <c r="AC18" s="4" t="n">
        <f aca="false">AB18*1.18</f>
        <v>5087.7588</v>
      </c>
      <c r="AD18" s="0" t="n">
        <v>0</v>
      </c>
    </row>
    <row r="19" customFormat="false" ht="15" hidden="false" customHeight="false" outlineLevel="0" collapsed="false">
      <c r="A19" s="0" t="s">
        <v>29</v>
      </c>
      <c r="B19" s="2" t="n">
        <v>46058</v>
      </c>
      <c r="C19" s="3" t="s">
        <v>150</v>
      </c>
      <c r="D19" s="3" t="s">
        <v>84</v>
      </c>
      <c r="E19" s="3" t="s">
        <v>32</v>
      </c>
      <c r="F19" s="3" t="s">
        <v>33</v>
      </c>
      <c r="G19" s="0" t="n">
        <v>114</v>
      </c>
      <c r="H19" s="0" t="n">
        <v>356.8</v>
      </c>
      <c r="I19" s="0" t="n">
        <v>392.6</v>
      </c>
      <c r="J19" s="2" t="n">
        <v>46055</v>
      </c>
      <c r="K19" s="3" t="s">
        <v>151</v>
      </c>
      <c r="L19" s="2" t="n">
        <v>46056</v>
      </c>
      <c r="M19" s="3" t="s">
        <v>152</v>
      </c>
      <c r="N19" s="2" t="n">
        <v>46055</v>
      </c>
      <c r="O19" s="3" t="s">
        <v>94</v>
      </c>
      <c r="P19" s="3" t="s">
        <v>153</v>
      </c>
      <c r="Q19" s="2" t="n">
        <v>46058</v>
      </c>
      <c r="R19" s="3" t="s">
        <v>154</v>
      </c>
      <c r="S19" s="3" t="s">
        <v>155</v>
      </c>
      <c r="T19" s="3" t="s">
        <v>40</v>
      </c>
      <c r="U19" s="3" t="s">
        <v>40</v>
      </c>
      <c r="V19" s="3" t="s">
        <v>40</v>
      </c>
      <c r="X19" s="0" t="n">
        <v>1.5</v>
      </c>
      <c r="Y19" s="0" t="n">
        <v>0.7579</v>
      </c>
      <c r="Z19" s="0" t="n">
        <v>-1</v>
      </c>
      <c r="AA19" s="0" t="n">
        <v>3</v>
      </c>
      <c r="AB19" s="4" t="n">
        <f aca="false">I19*AA19*Z19</f>
        <v>-1177.8</v>
      </c>
      <c r="AC19" s="4" t="n">
        <f aca="false">AB19*1.18</f>
        <v>-1389.804</v>
      </c>
      <c r="AD19" s="0" t="n">
        <v>0</v>
      </c>
    </row>
    <row r="20" customFormat="false" ht="15" hidden="false" customHeight="false" outlineLevel="0" collapsed="false">
      <c r="A20" s="0" t="s">
        <v>62</v>
      </c>
      <c r="B20" s="2" t="n">
        <v>46058</v>
      </c>
      <c r="C20" s="3" t="s">
        <v>156</v>
      </c>
      <c r="D20" s="3" t="s">
        <v>31</v>
      </c>
      <c r="E20" s="3" t="s">
        <v>32</v>
      </c>
      <c r="F20" s="3" t="s">
        <v>33</v>
      </c>
      <c r="G20" s="0" t="n">
        <v>147</v>
      </c>
      <c r="H20" s="0" t="n">
        <v>200.59</v>
      </c>
      <c r="I20" s="0" t="n">
        <v>220.94</v>
      </c>
      <c r="J20" s="2" t="n">
        <v>46057</v>
      </c>
      <c r="K20" s="3" t="s">
        <v>157</v>
      </c>
      <c r="L20" s="2" t="n">
        <v>46057</v>
      </c>
      <c r="M20" s="3" t="s">
        <v>158</v>
      </c>
      <c r="N20" s="2" t="n">
        <v>46057</v>
      </c>
      <c r="O20" s="3" t="s">
        <v>159</v>
      </c>
      <c r="P20" s="3" t="s">
        <v>160</v>
      </c>
      <c r="Q20" s="2" t="n">
        <v>46058</v>
      </c>
      <c r="R20" s="3" t="s">
        <v>161</v>
      </c>
      <c r="S20" s="3" t="s">
        <v>155</v>
      </c>
      <c r="T20" s="3" t="s">
        <v>82</v>
      </c>
      <c r="U20" s="3" t="s">
        <v>82</v>
      </c>
      <c r="V20" s="3" t="s">
        <v>82</v>
      </c>
      <c r="X20" s="0" t="n">
        <v>1.5</v>
      </c>
      <c r="Y20" s="0" t="n">
        <v>3.9168</v>
      </c>
      <c r="Z20" s="0" t="n">
        <v>2</v>
      </c>
      <c r="AA20" s="0" t="n">
        <v>5</v>
      </c>
      <c r="AB20" s="4" t="n">
        <f aca="false">I20*AA20*Z20</f>
        <v>2209.4</v>
      </c>
      <c r="AC20" s="4" t="n">
        <f aca="false">AB20*1.18</f>
        <v>2607.092</v>
      </c>
      <c r="AD20" s="0" t="n">
        <v>0</v>
      </c>
    </row>
    <row r="21" customFormat="false" ht="15" hidden="false" customHeight="false" outlineLevel="0" collapsed="false">
      <c r="A21" s="0" t="s">
        <v>62</v>
      </c>
      <c r="B21" s="2" t="n">
        <v>46058</v>
      </c>
      <c r="C21" s="3" t="s">
        <v>162</v>
      </c>
      <c r="D21" s="3" t="s">
        <v>84</v>
      </c>
      <c r="E21" s="3" t="s">
        <v>32</v>
      </c>
      <c r="F21" s="3" t="s">
        <v>33</v>
      </c>
      <c r="G21" s="0" t="n">
        <v>203</v>
      </c>
      <c r="H21" s="0" t="n">
        <v>1666.2</v>
      </c>
      <c r="I21" s="0" t="n">
        <v>2499.77</v>
      </c>
      <c r="J21" s="2" t="n">
        <v>46055</v>
      </c>
      <c r="K21" s="3" t="s">
        <v>163</v>
      </c>
      <c r="L21" s="2" t="n">
        <v>46055</v>
      </c>
      <c r="M21" s="3" t="s">
        <v>164</v>
      </c>
      <c r="N21" s="2" t="n">
        <v>46055</v>
      </c>
      <c r="O21" s="3" t="s">
        <v>165</v>
      </c>
      <c r="P21" s="3" t="s">
        <v>166</v>
      </c>
      <c r="Q21" s="2" t="n">
        <v>46058</v>
      </c>
      <c r="R21" s="3" t="s">
        <v>167</v>
      </c>
      <c r="S21" s="3" t="s">
        <v>54</v>
      </c>
      <c r="T21" s="3" t="s">
        <v>40</v>
      </c>
      <c r="U21" s="3" t="s">
        <v>40</v>
      </c>
      <c r="V21" s="3" t="s">
        <v>40</v>
      </c>
      <c r="X21" s="0" t="n">
        <v>1.5</v>
      </c>
      <c r="Y21" s="0" t="n">
        <v>4.6533</v>
      </c>
      <c r="Z21" s="0" t="n">
        <v>3</v>
      </c>
      <c r="AA21" s="0" t="n">
        <v>3</v>
      </c>
      <c r="AB21" s="4" t="n">
        <f aca="false">I21*AA21*Z21</f>
        <v>22497.93</v>
      </c>
      <c r="AC21" s="4" t="n">
        <f aca="false">AB21*1.18</f>
        <v>26547.5574</v>
      </c>
      <c r="AD21" s="0" t="n">
        <v>0</v>
      </c>
    </row>
    <row r="22" customFormat="false" ht="15" hidden="false" customHeight="false" outlineLevel="0" collapsed="false">
      <c r="A22" s="0" t="s">
        <v>62</v>
      </c>
      <c r="B22" s="2" t="n">
        <v>46059</v>
      </c>
      <c r="C22" s="3" t="s">
        <v>168</v>
      </c>
      <c r="D22" s="3" t="s">
        <v>31</v>
      </c>
      <c r="E22" s="3" t="s">
        <v>32</v>
      </c>
      <c r="F22" s="3" t="s">
        <v>33</v>
      </c>
      <c r="G22" s="0" t="n">
        <v>197</v>
      </c>
      <c r="H22" s="0" t="n">
        <v>917.72</v>
      </c>
      <c r="I22" s="0" t="n">
        <v>918.14</v>
      </c>
      <c r="J22" s="2" t="n">
        <v>46058</v>
      </c>
      <c r="K22" s="3" t="s">
        <v>169</v>
      </c>
      <c r="L22" s="2" t="n">
        <v>46058</v>
      </c>
      <c r="M22" s="3" t="s">
        <v>170</v>
      </c>
      <c r="N22" s="2" t="n">
        <v>46059</v>
      </c>
      <c r="O22" s="3" t="s">
        <v>119</v>
      </c>
      <c r="P22" s="3" t="s">
        <v>171</v>
      </c>
      <c r="Q22" s="2" t="n">
        <v>46059</v>
      </c>
      <c r="R22" s="3" t="s">
        <v>172</v>
      </c>
      <c r="S22" s="3" t="s">
        <v>47</v>
      </c>
      <c r="T22" s="3" t="s">
        <v>40</v>
      </c>
      <c r="U22" s="3" t="s">
        <v>40</v>
      </c>
      <c r="V22" s="3" t="s">
        <v>40</v>
      </c>
      <c r="X22" s="0" t="n">
        <v>1.5</v>
      </c>
      <c r="Y22" s="0" t="n">
        <v>1.2259</v>
      </c>
      <c r="Z22" s="0" t="n">
        <v>-1</v>
      </c>
      <c r="AA22" s="0" t="n">
        <v>3</v>
      </c>
      <c r="AB22" s="4" t="n">
        <f aca="false">I22*AA22*Z22</f>
        <v>-2754.42</v>
      </c>
      <c r="AC22" s="4" t="n">
        <f aca="false">AB22*1.18</f>
        <v>-3250.2156</v>
      </c>
      <c r="AD22" s="0" t="n">
        <v>0</v>
      </c>
    </row>
    <row r="23" customFormat="false" ht="15" hidden="false" customHeight="false" outlineLevel="0" collapsed="false">
      <c r="A23" s="0" t="s">
        <v>29</v>
      </c>
      <c r="B23" s="2" t="n">
        <v>46060</v>
      </c>
      <c r="C23" s="3" t="s">
        <v>173</v>
      </c>
      <c r="D23" s="3" t="s">
        <v>31</v>
      </c>
      <c r="E23" s="3" t="s">
        <v>32</v>
      </c>
      <c r="F23" s="3" t="s">
        <v>33</v>
      </c>
      <c r="G23" s="0" t="n">
        <v>93</v>
      </c>
      <c r="H23" s="0" t="n">
        <v>711.03</v>
      </c>
      <c r="I23" s="0" t="n">
        <v>711.25</v>
      </c>
      <c r="J23" s="2" t="n">
        <v>46058</v>
      </c>
      <c r="K23" s="3" t="s">
        <v>174</v>
      </c>
      <c r="L23" s="2" t="n">
        <v>46058</v>
      </c>
      <c r="M23" s="3" t="s">
        <v>175</v>
      </c>
      <c r="N23" s="2" t="n">
        <v>46058</v>
      </c>
      <c r="O23" s="3" t="s">
        <v>176</v>
      </c>
      <c r="P23" s="3" t="s">
        <v>177</v>
      </c>
      <c r="Q23" s="2" t="n">
        <v>46060</v>
      </c>
      <c r="R23" s="3" t="s">
        <v>178</v>
      </c>
      <c r="S23" s="3" t="s">
        <v>179</v>
      </c>
      <c r="T23" s="3" t="s">
        <v>90</v>
      </c>
      <c r="U23" s="3" t="s">
        <v>90</v>
      </c>
      <c r="V23" s="3" t="s">
        <v>90</v>
      </c>
      <c r="X23" s="0" t="n">
        <v>1.5</v>
      </c>
      <c r="Y23" s="0" t="n">
        <v>4.0133</v>
      </c>
      <c r="Z23" s="0" t="n">
        <v>3</v>
      </c>
      <c r="AA23" s="0" t="n">
        <v>3</v>
      </c>
      <c r="AB23" s="4" t="n">
        <f aca="false">I23*AA23*Z23</f>
        <v>6401.25</v>
      </c>
      <c r="AC23" s="4" t="n">
        <f aca="false">AB23*1.18</f>
        <v>7553.475</v>
      </c>
      <c r="AD23" s="0" t="n">
        <v>0</v>
      </c>
    </row>
    <row r="24" customFormat="false" ht="15" hidden="false" customHeight="false" outlineLevel="0" collapsed="false">
      <c r="A24" s="0" t="s">
        <v>29</v>
      </c>
      <c r="B24" s="2" t="n">
        <v>46060</v>
      </c>
      <c r="C24" s="3" t="s">
        <v>180</v>
      </c>
      <c r="D24" s="3" t="s">
        <v>31</v>
      </c>
      <c r="E24" s="3" t="s">
        <v>32</v>
      </c>
      <c r="F24" s="3" t="s">
        <v>33</v>
      </c>
      <c r="G24" s="0" t="n">
        <v>147</v>
      </c>
      <c r="H24" s="0" t="n">
        <v>1770.16</v>
      </c>
      <c r="I24" s="0" t="n">
        <v>2655.41</v>
      </c>
      <c r="J24" s="2" t="n">
        <v>46058</v>
      </c>
      <c r="K24" s="3" t="s">
        <v>181</v>
      </c>
      <c r="L24" s="2" t="n">
        <v>46058</v>
      </c>
      <c r="M24" s="3" t="s">
        <v>182</v>
      </c>
      <c r="N24" s="2" t="n">
        <v>46059</v>
      </c>
      <c r="O24" s="3" t="s">
        <v>183</v>
      </c>
      <c r="P24" s="3" t="s">
        <v>184</v>
      </c>
      <c r="Q24" s="2" t="n">
        <v>46060</v>
      </c>
      <c r="R24" s="3" t="s">
        <v>185</v>
      </c>
      <c r="S24" s="3" t="s">
        <v>54</v>
      </c>
      <c r="T24" s="3" t="s">
        <v>40</v>
      </c>
      <c r="U24" s="3" t="s">
        <v>40</v>
      </c>
      <c r="V24" s="3" t="s">
        <v>40</v>
      </c>
      <c r="X24" s="0" t="n">
        <v>1.5</v>
      </c>
      <c r="Y24" s="0" t="n">
        <v>3.6476</v>
      </c>
      <c r="Z24" s="0" t="n">
        <v>2</v>
      </c>
      <c r="AA24" s="0" t="n">
        <v>3</v>
      </c>
      <c r="AB24" s="4" t="n">
        <f aca="false">I24*AA24*Z24</f>
        <v>15932.46</v>
      </c>
      <c r="AC24" s="4" t="n">
        <f aca="false">AB24*1.18</f>
        <v>18800.3028</v>
      </c>
      <c r="AD24" s="0" t="n">
        <v>0</v>
      </c>
    </row>
    <row r="25" customFormat="false" ht="15" hidden="false" customHeight="false" outlineLevel="0" collapsed="false">
      <c r="A25" s="0" t="s">
        <v>29</v>
      </c>
      <c r="B25" s="2" t="n">
        <v>46060</v>
      </c>
      <c r="C25" s="3" t="s">
        <v>186</v>
      </c>
      <c r="D25" s="3" t="s">
        <v>84</v>
      </c>
      <c r="E25" s="3" t="s">
        <v>32</v>
      </c>
      <c r="F25" s="3" t="s">
        <v>33</v>
      </c>
      <c r="G25" s="0" t="n">
        <v>83</v>
      </c>
      <c r="H25" s="0" t="n">
        <v>1278.11</v>
      </c>
      <c r="I25" s="0" t="n">
        <v>1406.09</v>
      </c>
      <c r="J25" s="2" t="n">
        <v>46059</v>
      </c>
      <c r="K25" s="3" t="s">
        <v>187</v>
      </c>
      <c r="L25" s="2" t="n">
        <v>46059</v>
      </c>
      <c r="M25" s="3" t="s">
        <v>188</v>
      </c>
      <c r="N25" s="2" t="n">
        <v>46059</v>
      </c>
      <c r="O25" s="3" t="s">
        <v>189</v>
      </c>
      <c r="P25" s="3" t="s">
        <v>190</v>
      </c>
      <c r="Q25" s="2" t="n">
        <v>46060</v>
      </c>
      <c r="R25" s="3" t="s">
        <v>191</v>
      </c>
      <c r="S25" s="3" t="s">
        <v>142</v>
      </c>
      <c r="T25" s="3" t="s">
        <v>40</v>
      </c>
      <c r="U25" s="3" t="s">
        <v>40</v>
      </c>
      <c r="V25" s="3" t="s">
        <v>40</v>
      </c>
      <c r="X25" s="0" t="n">
        <v>1.5</v>
      </c>
      <c r="Y25" s="0" t="n">
        <v>0.7216</v>
      </c>
      <c r="Z25" s="0" t="n">
        <v>-1</v>
      </c>
      <c r="AA25" s="0" t="n">
        <v>3</v>
      </c>
      <c r="AB25" s="4" t="n">
        <f aca="false">I25*AA25*Z25</f>
        <v>-4218.27</v>
      </c>
      <c r="AC25" s="4" t="n">
        <f aca="false">AB25*1.18</f>
        <v>-4977.5586</v>
      </c>
      <c r="AD25" s="0" t="n">
        <v>0</v>
      </c>
    </row>
    <row r="26" customFormat="false" ht="15" hidden="false" customHeight="false" outlineLevel="0" collapsed="false">
      <c r="A26" s="0" t="s">
        <v>29</v>
      </c>
      <c r="B26" s="2" t="n">
        <v>46060</v>
      </c>
      <c r="C26" s="3" t="s">
        <v>192</v>
      </c>
      <c r="D26" s="3" t="s">
        <v>31</v>
      </c>
      <c r="E26" s="3" t="s">
        <v>32</v>
      </c>
      <c r="F26" s="3" t="s">
        <v>33</v>
      </c>
      <c r="G26" s="0" t="n">
        <v>154</v>
      </c>
      <c r="H26" s="0" t="n">
        <v>640.61</v>
      </c>
      <c r="I26" s="0" t="n">
        <v>961.29</v>
      </c>
      <c r="J26" s="2" t="n">
        <v>46059</v>
      </c>
      <c r="K26" s="3" t="s">
        <v>193</v>
      </c>
      <c r="L26" s="2" t="n">
        <v>46059</v>
      </c>
      <c r="M26" s="3" t="s">
        <v>194</v>
      </c>
      <c r="N26" s="2" t="n">
        <v>46059</v>
      </c>
      <c r="O26" s="3" t="s">
        <v>195</v>
      </c>
      <c r="P26" s="3" t="s">
        <v>196</v>
      </c>
      <c r="Q26" s="2" t="n">
        <v>46060</v>
      </c>
      <c r="R26" s="3" t="s">
        <v>197</v>
      </c>
      <c r="S26" s="3" t="s">
        <v>136</v>
      </c>
      <c r="T26" s="3" t="s">
        <v>40</v>
      </c>
      <c r="U26" s="3" t="s">
        <v>40</v>
      </c>
      <c r="V26" s="3" t="s">
        <v>40</v>
      </c>
      <c r="X26" s="0" t="n">
        <v>1.5</v>
      </c>
      <c r="Y26" s="0" t="n">
        <v>2.4877</v>
      </c>
      <c r="Z26" s="0" t="n">
        <v>1</v>
      </c>
      <c r="AA26" s="0" t="n">
        <v>3</v>
      </c>
      <c r="AB26" s="4" t="n">
        <f aca="false">I26*AA26*Z26</f>
        <v>2883.87</v>
      </c>
      <c r="AC26" s="4" t="n">
        <f aca="false">AB26*1.18</f>
        <v>3402.9666</v>
      </c>
      <c r="AD26" s="0" t="n">
        <v>0</v>
      </c>
    </row>
    <row r="27" customFormat="false" ht="15" hidden="false" customHeight="false" outlineLevel="0" collapsed="false">
      <c r="A27" s="0" t="s">
        <v>62</v>
      </c>
      <c r="B27" s="2" t="n">
        <v>46060</v>
      </c>
      <c r="C27" s="3" t="s">
        <v>198</v>
      </c>
      <c r="D27" s="3" t="s">
        <v>31</v>
      </c>
      <c r="E27" s="3" t="s">
        <v>32</v>
      </c>
      <c r="F27" s="3" t="s">
        <v>33</v>
      </c>
      <c r="G27" s="0" t="n">
        <v>115</v>
      </c>
      <c r="H27" s="0" t="n">
        <v>1893.17</v>
      </c>
      <c r="I27" s="0" t="n">
        <v>2461.25</v>
      </c>
      <c r="J27" s="2" t="n">
        <v>46057</v>
      </c>
      <c r="K27" s="3" t="s">
        <v>199</v>
      </c>
      <c r="L27" s="2" t="n">
        <v>46057</v>
      </c>
      <c r="M27" s="3" t="s">
        <v>200</v>
      </c>
      <c r="N27" s="2" t="n">
        <v>46058</v>
      </c>
      <c r="O27" s="3" t="s">
        <v>201</v>
      </c>
      <c r="P27" s="3" t="s">
        <v>202</v>
      </c>
      <c r="Q27" s="2" t="n">
        <v>46060</v>
      </c>
      <c r="R27" s="3" t="s">
        <v>152</v>
      </c>
      <c r="S27" s="3" t="s">
        <v>136</v>
      </c>
      <c r="T27" s="3" t="s">
        <v>40</v>
      </c>
      <c r="U27" s="3" t="s">
        <v>40</v>
      </c>
      <c r="V27" s="3" t="s">
        <v>40</v>
      </c>
      <c r="X27" s="0" t="n">
        <v>1.5</v>
      </c>
      <c r="Y27" s="0" t="n">
        <v>2.5263</v>
      </c>
      <c r="Z27" s="0" t="n">
        <v>1</v>
      </c>
      <c r="AA27" s="0" t="n">
        <v>3</v>
      </c>
      <c r="AB27" s="4" t="n">
        <f aca="false">I27*AA27*Z27</f>
        <v>7383.75</v>
      </c>
      <c r="AC27" s="4" t="n">
        <f aca="false">AB27*1.18</f>
        <v>8712.825</v>
      </c>
      <c r="AD27" s="0" t="n">
        <v>0</v>
      </c>
    </row>
    <row r="28" customFormat="false" ht="15" hidden="false" customHeight="false" outlineLevel="0" collapsed="false">
      <c r="A28" s="0" t="s">
        <v>62</v>
      </c>
      <c r="B28" s="2" t="n">
        <v>46060</v>
      </c>
      <c r="C28" s="3" t="s">
        <v>203</v>
      </c>
      <c r="D28" s="3" t="s">
        <v>31</v>
      </c>
      <c r="E28" s="3" t="s">
        <v>32</v>
      </c>
      <c r="F28" s="3" t="s">
        <v>33</v>
      </c>
      <c r="G28" s="0" t="n">
        <v>159</v>
      </c>
      <c r="H28" s="0" t="n">
        <v>1684.25</v>
      </c>
      <c r="I28" s="0" t="n">
        <v>2526.85</v>
      </c>
      <c r="J28" s="2" t="n">
        <v>46059</v>
      </c>
      <c r="K28" s="3" t="s">
        <v>112</v>
      </c>
      <c r="L28" s="2" t="n">
        <v>46060</v>
      </c>
      <c r="M28" s="3" t="s">
        <v>157</v>
      </c>
      <c r="N28" s="2" t="n">
        <v>46060</v>
      </c>
      <c r="O28" s="3" t="s">
        <v>65</v>
      </c>
      <c r="P28" s="3" t="s">
        <v>204</v>
      </c>
      <c r="Q28" s="2" t="n">
        <v>46060</v>
      </c>
      <c r="R28" s="3" t="s">
        <v>205</v>
      </c>
      <c r="S28" s="3" t="s">
        <v>136</v>
      </c>
      <c r="T28" s="3" t="s">
        <v>90</v>
      </c>
      <c r="U28" s="3" t="s">
        <v>90</v>
      </c>
      <c r="V28" s="3" t="s">
        <v>90</v>
      </c>
      <c r="X28" s="0" t="n">
        <v>1.5</v>
      </c>
      <c r="Y28" s="0" t="n">
        <v>4.8207</v>
      </c>
      <c r="Z28" s="0" t="n">
        <v>3</v>
      </c>
      <c r="AA28" s="0" t="n">
        <v>3</v>
      </c>
      <c r="AB28" s="4" t="n">
        <f aca="false">I28*AA28*Z28</f>
        <v>22741.65</v>
      </c>
      <c r="AC28" s="4" t="n">
        <f aca="false">AB28*1.18</f>
        <v>26835.147</v>
      </c>
      <c r="AD28" s="0" t="n">
        <v>0</v>
      </c>
    </row>
    <row r="29" customFormat="false" ht="15" hidden="false" customHeight="false" outlineLevel="0" collapsed="false">
      <c r="A29" s="0" t="s">
        <v>62</v>
      </c>
      <c r="B29" s="2" t="n">
        <v>46060</v>
      </c>
      <c r="C29" s="3" t="s">
        <v>206</v>
      </c>
      <c r="D29" s="3" t="s">
        <v>31</v>
      </c>
      <c r="E29" s="3" t="s">
        <v>32</v>
      </c>
      <c r="F29" s="3" t="s">
        <v>33</v>
      </c>
      <c r="G29" s="0" t="n">
        <v>61</v>
      </c>
      <c r="H29" s="0" t="n">
        <v>1066.18</v>
      </c>
      <c r="I29" s="0" t="n">
        <v>1386.08</v>
      </c>
      <c r="J29" s="2" t="n">
        <v>46059</v>
      </c>
      <c r="K29" s="3" t="s">
        <v>207</v>
      </c>
      <c r="L29" s="2" t="n">
        <v>46059</v>
      </c>
      <c r="M29" s="3" t="s">
        <v>208</v>
      </c>
      <c r="N29" s="2" t="n">
        <v>46060</v>
      </c>
      <c r="O29" s="3" t="s">
        <v>209</v>
      </c>
      <c r="P29" s="3" t="s">
        <v>210</v>
      </c>
      <c r="Q29" s="2" t="n">
        <v>46060</v>
      </c>
      <c r="R29" s="3" t="s">
        <v>43</v>
      </c>
      <c r="S29" s="3" t="s">
        <v>39</v>
      </c>
      <c r="T29" s="3" t="s">
        <v>40</v>
      </c>
      <c r="U29" s="3" t="s">
        <v>40</v>
      </c>
      <c r="V29" s="3" t="s">
        <v>40</v>
      </c>
      <c r="X29" s="0" t="n">
        <v>1.5</v>
      </c>
      <c r="Y29" s="0" t="n">
        <v>3.2345</v>
      </c>
      <c r="Z29" s="0" t="n">
        <v>2</v>
      </c>
      <c r="AA29" s="0" t="n">
        <v>3</v>
      </c>
      <c r="AB29" s="4" t="n">
        <f aca="false">I29*AA29*Z29</f>
        <v>8316.48</v>
      </c>
      <c r="AC29" s="4" t="n">
        <f aca="false">AB29*1.18</f>
        <v>9813.4464</v>
      </c>
      <c r="AD29" s="0" t="n">
        <v>0</v>
      </c>
    </row>
    <row r="30" customFormat="false" ht="15" hidden="false" customHeight="false" outlineLevel="0" collapsed="false">
      <c r="A30" s="0" t="s">
        <v>62</v>
      </c>
      <c r="B30" s="2" t="n">
        <v>46060</v>
      </c>
      <c r="C30" s="3" t="s">
        <v>211</v>
      </c>
      <c r="D30" s="3" t="s">
        <v>84</v>
      </c>
      <c r="E30" s="3" t="s">
        <v>32</v>
      </c>
      <c r="F30" s="3" t="s">
        <v>33</v>
      </c>
      <c r="G30" s="0" t="n">
        <v>160</v>
      </c>
      <c r="H30" s="0" t="n">
        <v>1215.52</v>
      </c>
      <c r="I30" s="0" t="n">
        <v>1215.91</v>
      </c>
      <c r="J30" s="2" t="n">
        <v>46059</v>
      </c>
      <c r="K30" s="3" t="s">
        <v>212</v>
      </c>
      <c r="L30" s="2" t="n">
        <v>46059</v>
      </c>
      <c r="M30" s="3" t="s">
        <v>213</v>
      </c>
      <c r="N30" s="2" t="n">
        <v>46060</v>
      </c>
      <c r="O30" s="3" t="s">
        <v>214</v>
      </c>
      <c r="P30" s="3" t="s">
        <v>215</v>
      </c>
      <c r="Q30" s="2" t="n">
        <v>46060</v>
      </c>
      <c r="R30" s="3" t="s">
        <v>216</v>
      </c>
      <c r="S30" s="3" t="s">
        <v>136</v>
      </c>
      <c r="T30" s="3" t="s">
        <v>40</v>
      </c>
      <c r="U30" s="3" t="s">
        <v>40</v>
      </c>
      <c r="V30" s="3" t="s">
        <v>40</v>
      </c>
      <c r="X30" s="0" t="n">
        <v>1.5</v>
      </c>
      <c r="Y30" s="0" t="n">
        <v>4.5763</v>
      </c>
      <c r="Z30" s="0" t="n">
        <v>3</v>
      </c>
      <c r="AA30" s="0" t="n">
        <v>3</v>
      </c>
      <c r="AB30" s="4" t="n">
        <f aca="false">I30*AA30*Z30</f>
        <v>10943.19</v>
      </c>
      <c r="AC30" s="4" t="n">
        <f aca="false">AB30*1.18</f>
        <v>12912.9642</v>
      </c>
      <c r="AD30" s="0" t="n">
        <v>0</v>
      </c>
    </row>
    <row r="31" customFormat="false" ht="15" hidden="false" customHeight="false" outlineLevel="0" collapsed="false">
      <c r="A31" s="0" t="s">
        <v>62</v>
      </c>
      <c r="B31" s="2" t="n">
        <v>46060</v>
      </c>
      <c r="C31" s="3" t="s">
        <v>217</v>
      </c>
      <c r="D31" s="3" t="s">
        <v>31</v>
      </c>
      <c r="E31" s="3" t="s">
        <v>32</v>
      </c>
      <c r="F31" s="3" t="s">
        <v>33</v>
      </c>
      <c r="G31" s="0" t="n">
        <v>29</v>
      </c>
      <c r="H31" s="0" t="n">
        <v>1476.3</v>
      </c>
      <c r="I31" s="0" t="n">
        <v>1624.04</v>
      </c>
      <c r="J31" s="2" t="n">
        <v>46058</v>
      </c>
      <c r="K31" s="3" t="s">
        <v>218</v>
      </c>
      <c r="L31" s="2" t="n">
        <v>46058</v>
      </c>
      <c r="M31" s="3" t="s">
        <v>219</v>
      </c>
      <c r="N31" s="2" t="n">
        <v>46058</v>
      </c>
      <c r="O31" s="3" t="s">
        <v>220</v>
      </c>
      <c r="P31" s="3" t="s">
        <v>221</v>
      </c>
      <c r="Q31" s="2" t="n">
        <v>46060</v>
      </c>
      <c r="R31" s="3" t="s">
        <v>222</v>
      </c>
      <c r="S31" s="3" t="s">
        <v>39</v>
      </c>
      <c r="T31" s="3" t="s">
        <v>40</v>
      </c>
      <c r="U31" s="3" t="s">
        <v>40</v>
      </c>
      <c r="V31" s="3" t="s">
        <v>40</v>
      </c>
      <c r="X31" s="0" t="n">
        <v>1.5</v>
      </c>
      <c r="Y31" s="0" t="n">
        <v>1.6472</v>
      </c>
      <c r="Z31" s="0" t="n">
        <v>1</v>
      </c>
      <c r="AA31" s="0" t="n">
        <v>3</v>
      </c>
      <c r="AB31" s="4" t="n">
        <f aca="false">I31*AA31*Z31</f>
        <v>4872.12</v>
      </c>
      <c r="AC31" s="4" t="n">
        <f aca="false">AB31*1.18</f>
        <v>5749.1016</v>
      </c>
      <c r="AD31" s="0" t="n">
        <v>0</v>
      </c>
    </row>
    <row r="32" customFormat="false" ht="15" hidden="false" customHeight="false" outlineLevel="0" collapsed="false">
      <c r="A32" s="0" t="s">
        <v>62</v>
      </c>
      <c r="B32" s="2" t="n">
        <v>46060</v>
      </c>
      <c r="C32" s="3" t="s">
        <v>223</v>
      </c>
      <c r="D32" s="3" t="s">
        <v>31</v>
      </c>
      <c r="E32" s="3" t="s">
        <v>32</v>
      </c>
      <c r="F32" s="3" t="s">
        <v>33</v>
      </c>
      <c r="G32" s="0" t="n">
        <v>113</v>
      </c>
      <c r="H32" s="0" t="n">
        <v>3023.67</v>
      </c>
      <c r="I32" s="0" t="n">
        <v>3023.77</v>
      </c>
      <c r="J32" s="2" t="n">
        <v>46057</v>
      </c>
      <c r="K32" s="3" t="s">
        <v>224</v>
      </c>
      <c r="L32" s="2" t="n">
        <v>46057</v>
      </c>
      <c r="M32" s="3" t="s">
        <v>225</v>
      </c>
      <c r="N32" s="2" t="n">
        <v>46057</v>
      </c>
      <c r="O32" s="3" t="s">
        <v>226</v>
      </c>
      <c r="P32" s="3" t="s">
        <v>227</v>
      </c>
      <c r="Q32" s="2" t="n">
        <v>46060</v>
      </c>
      <c r="R32" s="3" t="s">
        <v>228</v>
      </c>
      <c r="S32" s="3" t="s">
        <v>115</v>
      </c>
      <c r="T32" s="3" t="s">
        <v>40</v>
      </c>
      <c r="U32" s="3" t="s">
        <v>40</v>
      </c>
      <c r="V32" s="3" t="s">
        <v>40</v>
      </c>
      <c r="X32" s="0" t="n">
        <v>1.5</v>
      </c>
      <c r="Y32" s="0" t="n">
        <v>1.1727</v>
      </c>
      <c r="Z32" s="0" t="n">
        <v>-1</v>
      </c>
      <c r="AA32" s="0" t="n">
        <v>3</v>
      </c>
      <c r="AB32" s="4" t="n">
        <f aca="false">I32*AA32*Z32</f>
        <v>-9071.31</v>
      </c>
      <c r="AC32" s="4" t="n">
        <f aca="false">AB32*1.18</f>
        <v>-10704.1458</v>
      </c>
      <c r="AD32" s="0" t="n">
        <v>0</v>
      </c>
    </row>
    <row r="33" customFormat="false" ht="15" hidden="false" customHeight="false" outlineLevel="0" collapsed="false">
      <c r="A33" s="0" t="s">
        <v>62</v>
      </c>
      <c r="B33" s="2" t="n">
        <v>46060</v>
      </c>
      <c r="C33" s="3" t="s">
        <v>229</v>
      </c>
      <c r="D33" s="3" t="s">
        <v>31</v>
      </c>
      <c r="E33" s="3" t="s">
        <v>32</v>
      </c>
      <c r="F33" s="3" t="s">
        <v>33</v>
      </c>
      <c r="G33" s="0" t="n">
        <v>93</v>
      </c>
      <c r="H33" s="0" t="n">
        <v>1037.05</v>
      </c>
      <c r="I33" s="0" t="n">
        <v>1037.52</v>
      </c>
      <c r="J33" s="2" t="n">
        <v>46058</v>
      </c>
      <c r="K33" s="3" t="s">
        <v>230</v>
      </c>
      <c r="L33" s="2" t="n">
        <v>46059</v>
      </c>
      <c r="M33" s="3" t="s">
        <v>231</v>
      </c>
      <c r="N33" s="2" t="n">
        <v>46059</v>
      </c>
      <c r="O33" s="3" t="s">
        <v>232</v>
      </c>
      <c r="P33" s="3" t="s">
        <v>233</v>
      </c>
      <c r="Q33" s="2" t="n">
        <v>46060</v>
      </c>
      <c r="R33" s="3" t="s">
        <v>234</v>
      </c>
      <c r="S33" s="3" t="s">
        <v>109</v>
      </c>
      <c r="T33" s="3" t="s">
        <v>90</v>
      </c>
      <c r="U33" s="3" t="s">
        <v>90</v>
      </c>
      <c r="V33" s="3" t="s">
        <v>90</v>
      </c>
      <c r="X33" s="0" t="n">
        <v>1.5</v>
      </c>
      <c r="Y33" s="0" t="n">
        <v>3.3308</v>
      </c>
      <c r="Z33" s="0" t="n">
        <v>2</v>
      </c>
      <c r="AA33" s="0" t="n">
        <v>3</v>
      </c>
      <c r="AB33" s="4" t="n">
        <f aca="false">I33*AA33*Z33</f>
        <v>6225.12</v>
      </c>
      <c r="AC33" s="4" t="n">
        <f aca="false">AB33*1.18</f>
        <v>7345.6416</v>
      </c>
      <c r="AD33" s="0" t="n">
        <v>0</v>
      </c>
    </row>
    <row r="34" customFormat="false" ht="15" hidden="false" customHeight="false" outlineLevel="0" collapsed="false">
      <c r="A34" s="0" t="s">
        <v>29</v>
      </c>
      <c r="B34" s="2" t="n">
        <v>46061</v>
      </c>
      <c r="C34" s="3" t="s">
        <v>235</v>
      </c>
      <c r="D34" s="3" t="s">
        <v>84</v>
      </c>
      <c r="E34" s="3" t="s">
        <v>32</v>
      </c>
      <c r="F34" s="3" t="s">
        <v>33</v>
      </c>
      <c r="G34" s="0" t="n">
        <v>76</v>
      </c>
      <c r="H34" s="0" t="n">
        <v>788.33</v>
      </c>
      <c r="I34" s="0" t="n">
        <v>788.66</v>
      </c>
      <c r="J34" s="2" t="n">
        <v>46059</v>
      </c>
      <c r="K34" s="3" t="s">
        <v>236</v>
      </c>
      <c r="L34" s="2" t="n">
        <v>46059</v>
      </c>
      <c r="M34" s="3" t="s">
        <v>237</v>
      </c>
      <c r="N34" s="2" t="n">
        <v>46059</v>
      </c>
      <c r="O34" s="3" t="s">
        <v>238</v>
      </c>
      <c r="P34" s="3" t="s">
        <v>239</v>
      </c>
      <c r="Q34" s="2" t="n">
        <v>46061</v>
      </c>
      <c r="R34" s="3" t="s">
        <v>240</v>
      </c>
      <c r="S34" s="3" t="s">
        <v>241</v>
      </c>
      <c r="T34" s="3" t="s">
        <v>40</v>
      </c>
      <c r="U34" s="3" t="s">
        <v>40</v>
      </c>
      <c r="V34" s="3" t="s">
        <v>40</v>
      </c>
      <c r="X34" s="0" t="n">
        <v>1.5</v>
      </c>
      <c r="Y34" s="0" t="n">
        <v>0.7316</v>
      </c>
      <c r="Z34" s="0" t="n">
        <v>-1</v>
      </c>
      <c r="AA34" s="0" t="n">
        <v>3</v>
      </c>
      <c r="AB34" s="4" t="n">
        <f aca="false">I34*AA34*Z34</f>
        <v>-2365.98</v>
      </c>
      <c r="AC34" s="4" t="n">
        <f aca="false">AB34*1.18</f>
        <v>-2791.8564</v>
      </c>
      <c r="AD34" s="0" t="n">
        <v>0</v>
      </c>
    </row>
    <row r="35" customFormat="false" ht="15" hidden="false" customHeight="false" outlineLevel="0" collapsed="false">
      <c r="A35" s="0" t="s">
        <v>29</v>
      </c>
      <c r="B35" s="2" t="n">
        <v>46061</v>
      </c>
      <c r="C35" s="3" t="s">
        <v>242</v>
      </c>
      <c r="D35" s="3" t="s">
        <v>31</v>
      </c>
      <c r="E35" s="3" t="s">
        <v>32</v>
      </c>
      <c r="F35" s="3" t="s">
        <v>33</v>
      </c>
      <c r="G35" s="0" t="n">
        <v>121</v>
      </c>
      <c r="H35" s="0" t="n">
        <v>2570.18</v>
      </c>
      <c r="I35" s="0" t="n">
        <v>3341.65</v>
      </c>
      <c r="J35" s="2" t="n">
        <v>46060</v>
      </c>
      <c r="K35" s="3" t="s">
        <v>243</v>
      </c>
      <c r="L35" s="2" t="n">
        <v>46060</v>
      </c>
      <c r="M35" s="3" t="s">
        <v>244</v>
      </c>
      <c r="N35" s="2" t="n">
        <v>46061</v>
      </c>
      <c r="O35" s="3" t="s">
        <v>245</v>
      </c>
      <c r="P35" s="3" t="s">
        <v>246</v>
      </c>
      <c r="Q35" s="2" t="n">
        <v>46061</v>
      </c>
      <c r="R35" s="3" t="s">
        <v>247</v>
      </c>
      <c r="S35" s="3" t="s">
        <v>179</v>
      </c>
      <c r="T35" s="3" t="s">
        <v>248</v>
      </c>
      <c r="U35" s="3" t="s">
        <v>248</v>
      </c>
      <c r="V35" s="3" t="s">
        <v>248</v>
      </c>
      <c r="X35" s="0" t="n">
        <v>1.5</v>
      </c>
      <c r="Y35" s="0" t="n">
        <v>1.3866</v>
      </c>
      <c r="Z35" s="0" t="n">
        <v>-1</v>
      </c>
      <c r="AA35" s="0" t="n">
        <v>3</v>
      </c>
      <c r="AB35" s="4" t="n">
        <f aca="false">I35*AA35*Z35</f>
        <v>-10024.95</v>
      </c>
      <c r="AC35" s="4" t="n">
        <f aca="false">AB35*1.18</f>
        <v>-11829.441</v>
      </c>
      <c r="AD35" s="0" t="n">
        <v>0</v>
      </c>
    </row>
    <row r="36" customFormat="false" ht="15" hidden="false" customHeight="false" outlineLevel="0" collapsed="false">
      <c r="A36" s="0" t="s">
        <v>29</v>
      </c>
      <c r="B36" s="2" t="n">
        <v>46061</v>
      </c>
      <c r="C36" s="3" t="s">
        <v>249</v>
      </c>
      <c r="D36" s="3" t="s">
        <v>84</v>
      </c>
      <c r="E36" s="3" t="s">
        <v>32</v>
      </c>
      <c r="F36" s="3" t="s">
        <v>33</v>
      </c>
      <c r="G36" s="0" t="n">
        <v>37</v>
      </c>
      <c r="H36" s="0" t="n">
        <v>1052.62</v>
      </c>
      <c r="I36" s="0" t="n">
        <v>1368.54</v>
      </c>
      <c r="J36" s="2" t="n">
        <v>46058</v>
      </c>
      <c r="K36" s="3" t="s">
        <v>250</v>
      </c>
      <c r="L36" s="2" t="n">
        <v>46058</v>
      </c>
      <c r="M36" s="3" t="s">
        <v>251</v>
      </c>
      <c r="N36" s="2" t="n">
        <v>46058</v>
      </c>
      <c r="O36" s="3" t="s">
        <v>252</v>
      </c>
      <c r="P36" s="3" t="s">
        <v>253</v>
      </c>
      <c r="Q36" s="2" t="n">
        <v>46061</v>
      </c>
      <c r="R36" s="3" t="s">
        <v>254</v>
      </c>
      <c r="S36" s="3" t="s">
        <v>115</v>
      </c>
      <c r="T36" s="3" t="s">
        <v>40</v>
      </c>
      <c r="U36" s="3" t="s">
        <v>40</v>
      </c>
      <c r="V36" s="3" t="s">
        <v>40</v>
      </c>
      <c r="X36" s="0" t="n">
        <v>1.5</v>
      </c>
      <c r="Y36" s="0" t="n">
        <v>2.2484</v>
      </c>
      <c r="Z36" s="0" t="n">
        <v>1</v>
      </c>
      <c r="AA36" s="0" t="n">
        <v>3</v>
      </c>
      <c r="AB36" s="4" t="n">
        <f aca="false">I36*AA36*Z36</f>
        <v>4105.62</v>
      </c>
      <c r="AC36" s="4" t="n">
        <f aca="false">AB36*1.18</f>
        <v>4844.6316</v>
      </c>
      <c r="AD36" s="0" t="n">
        <v>0</v>
      </c>
    </row>
    <row r="37" customFormat="false" ht="15" hidden="false" customHeight="false" outlineLevel="0" collapsed="false">
      <c r="A37" s="0" t="s">
        <v>62</v>
      </c>
      <c r="B37" s="2" t="n">
        <v>46061</v>
      </c>
      <c r="C37" s="3" t="s">
        <v>255</v>
      </c>
      <c r="D37" s="3" t="s">
        <v>31</v>
      </c>
      <c r="E37" s="3" t="s">
        <v>32</v>
      </c>
      <c r="F37" s="3" t="s">
        <v>33</v>
      </c>
      <c r="G37" s="0" t="n">
        <v>134</v>
      </c>
      <c r="H37" s="0" t="n">
        <v>2082.93</v>
      </c>
      <c r="I37" s="0" t="n">
        <v>2083.18</v>
      </c>
      <c r="J37" s="2" t="n">
        <v>46059</v>
      </c>
      <c r="K37" s="3" t="s">
        <v>256</v>
      </c>
      <c r="L37" s="2" t="n">
        <v>46059</v>
      </c>
      <c r="M37" s="3" t="s">
        <v>257</v>
      </c>
      <c r="N37" s="2" t="n">
        <v>46060</v>
      </c>
      <c r="O37" s="3" t="s">
        <v>258</v>
      </c>
      <c r="P37" s="3" t="s">
        <v>259</v>
      </c>
      <c r="Q37" s="2" t="n">
        <v>46061</v>
      </c>
      <c r="R37" s="3" t="s">
        <v>260</v>
      </c>
      <c r="S37" s="3" t="s">
        <v>261</v>
      </c>
      <c r="T37" s="3" t="s">
        <v>40</v>
      </c>
      <c r="U37" s="3" t="s">
        <v>40</v>
      </c>
      <c r="V37" s="3" t="s">
        <v>40</v>
      </c>
      <c r="X37" s="0" t="n">
        <v>1.5</v>
      </c>
      <c r="Y37" s="0" t="n">
        <v>1.8534</v>
      </c>
      <c r="Z37" s="0" t="n">
        <v>1</v>
      </c>
      <c r="AA37" s="0" t="n">
        <v>3</v>
      </c>
      <c r="AB37" s="4" t="n">
        <f aca="false">I37*AA37*Z37</f>
        <v>6249.54</v>
      </c>
      <c r="AC37" s="4" t="n">
        <f aca="false">AB37*1.18</f>
        <v>7374.4572</v>
      </c>
      <c r="AD37" s="0" t="n">
        <v>0</v>
      </c>
    </row>
    <row r="38" customFormat="false" ht="15" hidden="false" customHeight="false" outlineLevel="0" collapsed="false">
      <c r="A38" s="0" t="s">
        <v>62</v>
      </c>
      <c r="B38" s="2" t="n">
        <v>46061</v>
      </c>
      <c r="C38" s="3" t="s">
        <v>262</v>
      </c>
      <c r="D38" s="3" t="s">
        <v>31</v>
      </c>
      <c r="E38" s="3" t="s">
        <v>32</v>
      </c>
      <c r="F38" s="3" t="s">
        <v>33</v>
      </c>
      <c r="G38" s="0" t="n">
        <v>17</v>
      </c>
      <c r="H38" s="0" t="n">
        <v>1723.35</v>
      </c>
      <c r="I38" s="0" t="n">
        <v>1895.97</v>
      </c>
      <c r="J38" s="2" t="n">
        <v>46058</v>
      </c>
      <c r="K38" s="3" t="s">
        <v>263</v>
      </c>
      <c r="L38" s="2" t="n">
        <v>46058</v>
      </c>
      <c r="M38" s="3" t="s">
        <v>264</v>
      </c>
      <c r="N38" s="2" t="n">
        <v>46059</v>
      </c>
      <c r="O38" s="3" t="s">
        <v>265</v>
      </c>
      <c r="P38" s="3" t="s">
        <v>266</v>
      </c>
      <c r="Q38" s="2" t="n">
        <v>46061</v>
      </c>
      <c r="R38" s="3" t="s">
        <v>267</v>
      </c>
      <c r="S38" s="3" t="s">
        <v>179</v>
      </c>
      <c r="T38" s="3" t="s">
        <v>40</v>
      </c>
      <c r="U38" s="3" t="s">
        <v>40</v>
      </c>
      <c r="V38" s="3" t="s">
        <v>40</v>
      </c>
      <c r="X38" s="0" t="n">
        <v>1.5</v>
      </c>
      <c r="Y38" s="0" t="n">
        <v>3.8295</v>
      </c>
      <c r="Z38" s="0" t="n">
        <v>2</v>
      </c>
      <c r="AA38" s="0" t="n">
        <v>3</v>
      </c>
      <c r="AB38" s="4" t="n">
        <f aca="false">I38*AA38*Z38</f>
        <v>11375.82</v>
      </c>
      <c r="AC38" s="4" t="n">
        <f aca="false">AB38*1.18</f>
        <v>13423.4676</v>
      </c>
      <c r="AD38" s="0" t="n">
        <v>0</v>
      </c>
    </row>
    <row r="39" customFormat="false" ht="15" hidden="false" customHeight="false" outlineLevel="0" collapsed="false">
      <c r="A39" s="0" t="s">
        <v>29</v>
      </c>
      <c r="B39" s="2" t="n">
        <v>46062</v>
      </c>
      <c r="C39" s="3" t="s">
        <v>268</v>
      </c>
      <c r="D39" s="3" t="s">
        <v>84</v>
      </c>
      <c r="E39" s="3" t="s">
        <v>32</v>
      </c>
      <c r="F39" s="3" t="s">
        <v>33</v>
      </c>
      <c r="G39" s="0" t="n">
        <v>109</v>
      </c>
      <c r="H39" s="0" t="n">
        <v>525.42</v>
      </c>
      <c r="I39" s="0" t="n">
        <v>578.21</v>
      </c>
      <c r="J39" s="2" t="n">
        <v>46059</v>
      </c>
      <c r="K39" s="3" t="s">
        <v>269</v>
      </c>
      <c r="L39" s="2" t="n">
        <v>46060</v>
      </c>
      <c r="M39" s="3" t="s">
        <v>270</v>
      </c>
      <c r="N39" s="2" t="n">
        <v>46059</v>
      </c>
      <c r="O39" s="3" t="s">
        <v>271</v>
      </c>
      <c r="P39" s="3" t="s">
        <v>272</v>
      </c>
      <c r="Q39" s="2" t="n">
        <v>46062</v>
      </c>
      <c r="R39" s="3" t="s">
        <v>273</v>
      </c>
      <c r="S39" s="3" t="s">
        <v>122</v>
      </c>
      <c r="T39" s="3" t="s">
        <v>248</v>
      </c>
      <c r="U39" s="3" t="s">
        <v>248</v>
      </c>
      <c r="V39" s="3" t="s">
        <v>248</v>
      </c>
      <c r="X39" s="0" t="n">
        <v>1.5</v>
      </c>
      <c r="Y39" s="0" t="n">
        <v>1.945</v>
      </c>
      <c r="Z39" s="0" t="n">
        <v>1</v>
      </c>
      <c r="AA39" s="0" t="n">
        <v>3</v>
      </c>
      <c r="AB39" s="4" t="n">
        <f aca="false">I39*AA39*Z39</f>
        <v>1734.63</v>
      </c>
      <c r="AC39" s="4" t="n">
        <f aca="false">AB39*1.18</f>
        <v>2046.8634</v>
      </c>
      <c r="AD39" s="0" t="n">
        <v>0</v>
      </c>
    </row>
    <row r="40" customFormat="false" ht="15" hidden="false" customHeight="false" outlineLevel="0" collapsed="false">
      <c r="A40" s="0" t="s">
        <v>62</v>
      </c>
      <c r="B40" s="2" t="n">
        <v>46062</v>
      </c>
      <c r="C40" s="3" t="s">
        <v>274</v>
      </c>
      <c r="D40" s="3" t="s">
        <v>31</v>
      </c>
      <c r="E40" s="3" t="s">
        <v>32</v>
      </c>
      <c r="F40" s="3" t="s">
        <v>33</v>
      </c>
      <c r="G40" s="0" t="n">
        <v>139</v>
      </c>
      <c r="H40" s="0" t="n">
        <v>1009.59</v>
      </c>
      <c r="I40" s="0" t="n">
        <v>1009.84</v>
      </c>
      <c r="J40" s="2" t="n">
        <v>46061</v>
      </c>
      <c r="K40" s="3" t="s">
        <v>275</v>
      </c>
      <c r="L40" s="2" t="n">
        <v>46061</v>
      </c>
      <c r="M40" s="3" t="s">
        <v>276</v>
      </c>
      <c r="N40" s="2" t="n">
        <v>46062</v>
      </c>
      <c r="O40" s="3" t="s">
        <v>277</v>
      </c>
      <c r="P40" s="3" t="s">
        <v>278</v>
      </c>
      <c r="Q40" s="2" t="n">
        <v>46062</v>
      </c>
      <c r="R40" s="3" t="s">
        <v>279</v>
      </c>
      <c r="S40" s="3" t="s">
        <v>109</v>
      </c>
      <c r="T40" s="3" t="s">
        <v>40</v>
      </c>
      <c r="U40" s="3" t="s">
        <v>40</v>
      </c>
      <c r="V40" s="3" t="s">
        <v>40</v>
      </c>
      <c r="X40" s="0" t="n">
        <v>1.5</v>
      </c>
      <c r="Y40" s="0" t="n">
        <v>1.4847</v>
      </c>
      <c r="Z40" s="0" t="n">
        <v>-1</v>
      </c>
      <c r="AA40" s="0" t="n">
        <v>3</v>
      </c>
      <c r="AB40" s="4" t="n">
        <f aca="false">I40*AA40*Z40</f>
        <v>-3029.52</v>
      </c>
      <c r="AC40" s="4" t="n">
        <f aca="false">AB40*1.18</f>
        <v>-3574.8336</v>
      </c>
      <c r="AD40" s="0" t="n">
        <v>0</v>
      </c>
    </row>
    <row r="41" customFormat="false" ht="15" hidden="false" customHeight="false" outlineLevel="0" collapsed="false">
      <c r="A41" s="0" t="s">
        <v>62</v>
      </c>
      <c r="B41" s="2" t="n">
        <v>46062</v>
      </c>
      <c r="C41" s="3" t="s">
        <v>280</v>
      </c>
      <c r="D41" s="3" t="s">
        <v>84</v>
      </c>
      <c r="E41" s="3" t="s">
        <v>32</v>
      </c>
      <c r="F41" s="3" t="s">
        <v>33</v>
      </c>
      <c r="G41" s="0" t="n">
        <v>169</v>
      </c>
      <c r="H41" s="0" t="n">
        <v>2747.81</v>
      </c>
      <c r="I41" s="0" t="n">
        <v>2748.21</v>
      </c>
      <c r="J41" s="2" t="n">
        <v>46059</v>
      </c>
      <c r="K41" s="3" t="s">
        <v>281</v>
      </c>
      <c r="L41" s="2" t="n">
        <v>46059</v>
      </c>
      <c r="M41" s="3" t="s">
        <v>282</v>
      </c>
      <c r="N41" s="2" t="n">
        <v>46060</v>
      </c>
      <c r="O41" s="3" t="s">
        <v>283</v>
      </c>
      <c r="P41" s="3" t="s">
        <v>284</v>
      </c>
      <c r="Q41" s="2" t="n">
        <v>46062</v>
      </c>
      <c r="R41" s="3" t="s">
        <v>285</v>
      </c>
      <c r="S41" s="3" t="s">
        <v>149</v>
      </c>
      <c r="T41" s="3" t="s">
        <v>90</v>
      </c>
      <c r="U41" s="3" t="s">
        <v>90</v>
      </c>
      <c r="V41" s="3" t="s">
        <v>90</v>
      </c>
      <c r="X41" s="0" t="n">
        <v>1.5</v>
      </c>
      <c r="Y41" s="0" t="n">
        <v>0.2622</v>
      </c>
      <c r="Z41" s="0" t="n">
        <v>-1</v>
      </c>
      <c r="AA41" s="0" t="n">
        <v>3</v>
      </c>
      <c r="AB41" s="4" t="n">
        <f aca="false">I41*AA41*Z41</f>
        <v>-8244.63</v>
      </c>
      <c r="AC41" s="4" t="n">
        <f aca="false">AB41*1.18</f>
        <v>-9728.6634</v>
      </c>
      <c r="AD41" s="0" t="n">
        <v>0</v>
      </c>
    </row>
    <row r="42" customFormat="false" ht="15" hidden="false" customHeight="false" outlineLevel="0" collapsed="false">
      <c r="A42" s="0" t="s">
        <v>62</v>
      </c>
      <c r="B42" s="2" t="n">
        <v>46062</v>
      </c>
      <c r="C42" s="3" t="s">
        <v>286</v>
      </c>
      <c r="D42" s="3" t="s">
        <v>31</v>
      </c>
      <c r="E42" s="3" t="s">
        <v>32</v>
      </c>
      <c r="F42" s="3" t="s">
        <v>33</v>
      </c>
      <c r="G42" s="0" t="n">
        <v>114</v>
      </c>
      <c r="H42" s="0" t="n">
        <v>2578.57</v>
      </c>
      <c r="I42" s="0" t="n">
        <v>2836.67</v>
      </c>
      <c r="J42" s="2" t="n">
        <v>46059</v>
      </c>
      <c r="K42" s="3" t="s">
        <v>287</v>
      </c>
      <c r="L42" s="2" t="n">
        <v>46059</v>
      </c>
      <c r="M42" s="3" t="s">
        <v>288</v>
      </c>
      <c r="N42" s="2" t="n">
        <v>46059</v>
      </c>
      <c r="O42" s="3" t="s">
        <v>289</v>
      </c>
      <c r="P42" s="3" t="s">
        <v>290</v>
      </c>
      <c r="Q42" s="2" t="n">
        <v>46062</v>
      </c>
      <c r="R42" s="3" t="s">
        <v>291</v>
      </c>
      <c r="S42" s="3" t="s">
        <v>39</v>
      </c>
      <c r="T42" s="3" t="s">
        <v>90</v>
      </c>
      <c r="U42" s="3" t="s">
        <v>90</v>
      </c>
      <c r="V42" s="3" t="s">
        <v>90</v>
      </c>
      <c r="X42" s="0" t="n">
        <v>1.5</v>
      </c>
      <c r="Y42" s="0" t="n">
        <v>2.4782</v>
      </c>
      <c r="Z42" s="0" t="n">
        <v>1</v>
      </c>
      <c r="AA42" s="0" t="n">
        <v>3</v>
      </c>
      <c r="AB42" s="4" t="n">
        <f aca="false">I42*AA42*Z42</f>
        <v>8510.01</v>
      </c>
      <c r="AC42" s="4" t="n">
        <f aca="false">AB42*1.18</f>
        <v>10041.8118</v>
      </c>
      <c r="AD42" s="0" t="n">
        <v>0</v>
      </c>
    </row>
    <row r="43" customFormat="false" ht="15" hidden="false" customHeight="false" outlineLevel="0" collapsed="false">
      <c r="A43" s="0" t="s">
        <v>62</v>
      </c>
      <c r="B43" s="2" t="n">
        <v>46063</v>
      </c>
      <c r="C43" s="3" t="s">
        <v>292</v>
      </c>
      <c r="D43" s="3" t="s">
        <v>31</v>
      </c>
      <c r="E43" s="3" t="s">
        <v>32</v>
      </c>
      <c r="F43" s="3" t="s">
        <v>33</v>
      </c>
      <c r="G43" s="0" t="n">
        <v>152</v>
      </c>
      <c r="H43" s="0" t="n">
        <v>851.34</v>
      </c>
      <c r="I43" s="0" t="n">
        <v>936.54</v>
      </c>
      <c r="J43" s="2" t="n">
        <v>46062</v>
      </c>
      <c r="K43" s="3" t="s">
        <v>293</v>
      </c>
      <c r="L43" s="2" t="n">
        <v>46062</v>
      </c>
      <c r="M43" s="3" t="s">
        <v>294</v>
      </c>
      <c r="N43" s="2" t="n">
        <v>46063</v>
      </c>
      <c r="O43" s="3" t="s">
        <v>295</v>
      </c>
      <c r="P43" s="3" t="s">
        <v>296</v>
      </c>
      <c r="Q43" s="2" t="n">
        <v>46063</v>
      </c>
      <c r="R43" s="3" t="s">
        <v>297</v>
      </c>
      <c r="S43" s="3" t="s">
        <v>155</v>
      </c>
      <c r="T43" s="3" t="s">
        <v>40</v>
      </c>
      <c r="U43" s="3" t="s">
        <v>40</v>
      </c>
      <c r="V43" s="3" t="s">
        <v>40</v>
      </c>
      <c r="X43" s="0" t="n">
        <v>1.5</v>
      </c>
      <c r="Y43" s="0" t="n">
        <v>0.6844</v>
      </c>
      <c r="Z43" s="0" t="n">
        <v>-1</v>
      </c>
      <c r="AA43" s="0" t="n">
        <v>3</v>
      </c>
      <c r="AB43" s="4" t="n">
        <f aca="false">I43*AA43*Z43</f>
        <v>-2809.62</v>
      </c>
      <c r="AC43" s="4" t="n">
        <f aca="false">AB43*1.18</f>
        <v>-3315.3516</v>
      </c>
      <c r="AD43" s="0" t="n">
        <v>0</v>
      </c>
    </row>
    <row r="44" customFormat="false" ht="15" hidden="false" customHeight="false" outlineLevel="0" collapsed="false">
      <c r="A44" s="0" t="s">
        <v>62</v>
      </c>
      <c r="B44" s="2" t="n">
        <v>46063</v>
      </c>
      <c r="C44" s="3" t="s">
        <v>298</v>
      </c>
      <c r="D44" s="3" t="s">
        <v>31</v>
      </c>
      <c r="E44" s="3" t="s">
        <v>32</v>
      </c>
      <c r="F44" s="3" t="s">
        <v>33</v>
      </c>
      <c r="G44" s="0" t="n">
        <v>139</v>
      </c>
      <c r="H44" s="0" t="n">
        <v>230.13</v>
      </c>
      <c r="I44" s="0" t="n">
        <v>345.46</v>
      </c>
      <c r="J44" s="2" t="n">
        <v>46060</v>
      </c>
      <c r="K44" s="3" t="s">
        <v>299</v>
      </c>
      <c r="L44" s="2" t="n">
        <v>46060</v>
      </c>
      <c r="M44" s="3" t="s">
        <v>300</v>
      </c>
      <c r="N44" s="2" t="n">
        <v>46061</v>
      </c>
      <c r="O44" s="3" t="s">
        <v>301</v>
      </c>
      <c r="P44" s="3" t="s">
        <v>302</v>
      </c>
      <c r="Q44" s="2" t="n">
        <v>46063</v>
      </c>
      <c r="R44" s="3" t="s">
        <v>303</v>
      </c>
      <c r="S44" s="3" t="s">
        <v>304</v>
      </c>
      <c r="T44" s="3" t="s">
        <v>40</v>
      </c>
      <c r="U44" s="3" t="s">
        <v>40</v>
      </c>
      <c r="V44" s="3" t="s">
        <v>40</v>
      </c>
      <c r="X44" s="0" t="n">
        <v>1.5</v>
      </c>
      <c r="Y44" s="0" t="n">
        <v>1.7595</v>
      </c>
      <c r="Z44" s="0" t="n">
        <v>1</v>
      </c>
      <c r="AA44" s="0" t="n">
        <v>3</v>
      </c>
      <c r="AB44" s="4" t="n">
        <f aca="false">I44*AA44*Z44</f>
        <v>1036.38</v>
      </c>
      <c r="AC44" s="4" t="n">
        <f aca="false">AB44*1.18</f>
        <v>1222.9284</v>
      </c>
      <c r="AD44" s="0" t="n">
        <v>0</v>
      </c>
    </row>
    <row r="45" customFormat="false" ht="15" hidden="false" customHeight="false" outlineLevel="0" collapsed="false">
      <c r="A45" s="0" t="s">
        <v>62</v>
      </c>
      <c r="B45" s="2" t="n">
        <v>46063</v>
      </c>
      <c r="C45" s="3" t="s">
        <v>305</v>
      </c>
      <c r="D45" s="3" t="s">
        <v>84</v>
      </c>
      <c r="E45" s="3" t="s">
        <v>32</v>
      </c>
      <c r="F45" s="3" t="s">
        <v>33</v>
      </c>
      <c r="G45" s="0" t="n">
        <v>198</v>
      </c>
      <c r="H45" s="0" t="n">
        <v>2459.48</v>
      </c>
      <c r="I45" s="0" t="n">
        <v>3689.42</v>
      </c>
      <c r="J45" s="2" t="n">
        <v>46062</v>
      </c>
      <c r="K45" s="3" t="s">
        <v>306</v>
      </c>
      <c r="L45" s="2" t="n">
        <v>46063</v>
      </c>
      <c r="M45" s="3" t="s">
        <v>307</v>
      </c>
      <c r="N45" s="2" t="n">
        <v>46062</v>
      </c>
      <c r="O45" s="3" t="s">
        <v>308</v>
      </c>
      <c r="P45" s="3" t="s">
        <v>309</v>
      </c>
      <c r="Q45" s="2" t="n">
        <v>46063</v>
      </c>
      <c r="R45" s="3" t="s">
        <v>310</v>
      </c>
      <c r="S45" s="3" t="s">
        <v>109</v>
      </c>
      <c r="T45" s="3" t="s">
        <v>248</v>
      </c>
      <c r="U45" s="3" t="s">
        <v>248</v>
      </c>
      <c r="V45" s="3" t="s">
        <v>248</v>
      </c>
      <c r="X45" s="0" t="n">
        <v>1.5</v>
      </c>
      <c r="Y45" s="0" t="n">
        <v>0.933</v>
      </c>
      <c r="Z45" s="0" t="n">
        <v>-1</v>
      </c>
      <c r="AA45" s="0" t="n">
        <v>3</v>
      </c>
      <c r="AB45" s="4" t="n">
        <f aca="false">I45*AA45*Z45</f>
        <v>-11068.26</v>
      </c>
      <c r="AC45" s="4" t="n">
        <f aca="false">AB45*1.18</f>
        <v>-13060.5468</v>
      </c>
      <c r="AD45" s="0" t="n">
        <v>0</v>
      </c>
    </row>
    <row r="46" customFormat="false" ht="15" hidden="false" customHeight="false" outlineLevel="0" collapsed="false">
      <c r="A46" s="0" t="s">
        <v>62</v>
      </c>
      <c r="B46" s="2" t="n">
        <v>46063</v>
      </c>
      <c r="C46" s="3" t="s">
        <v>311</v>
      </c>
      <c r="D46" s="3" t="s">
        <v>31</v>
      </c>
      <c r="E46" s="3" t="s">
        <v>32</v>
      </c>
      <c r="F46" s="3" t="s">
        <v>33</v>
      </c>
      <c r="G46" s="0" t="n">
        <v>96</v>
      </c>
      <c r="H46" s="0" t="n">
        <v>917.5</v>
      </c>
      <c r="I46" s="0" t="n">
        <v>1009.55</v>
      </c>
      <c r="J46" s="2" t="n">
        <v>46061</v>
      </c>
      <c r="K46" s="3" t="s">
        <v>312</v>
      </c>
      <c r="L46" s="2" t="n">
        <v>46062</v>
      </c>
      <c r="M46" s="3" t="s">
        <v>313</v>
      </c>
      <c r="N46" s="2" t="n">
        <v>46061</v>
      </c>
      <c r="O46" s="3" t="s">
        <v>314</v>
      </c>
      <c r="P46" s="3" t="s">
        <v>315</v>
      </c>
      <c r="Q46" s="2" t="n">
        <v>46063</v>
      </c>
      <c r="R46" s="3" t="s">
        <v>316</v>
      </c>
      <c r="S46" s="3" t="s">
        <v>261</v>
      </c>
      <c r="T46" s="3" t="s">
        <v>40</v>
      </c>
      <c r="U46" s="3" t="s">
        <v>40</v>
      </c>
      <c r="V46" s="3" t="s">
        <v>40</v>
      </c>
      <c r="X46" s="0" t="n">
        <v>1.5</v>
      </c>
      <c r="Y46" s="0" t="n">
        <v>1.1891</v>
      </c>
      <c r="Z46" s="0" t="n">
        <v>-1</v>
      </c>
      <c r="AA46" s="0" t="n">
        <v>3</v>
      </c>
      <c r="AB46" s="4" t="n">
        <f aca="false">I46*AA46*Z46</f>
        <v>-3028.65</v>
      </c>
      <c r="AC46" s="4" t="n">
        <f aca="false">AB46*1.18</f>
        <v>-3573.807</v>
      </c>
      <c r="AD46" s="0" t="n">
        <v>0</v>
      </c>
    </row>
    <row r="47" customFormat="false" ht="15" hidden="false" customHeight="false" outlineLevel="0" collapsed="false">
      <c r="A47" s="0" t="s">
        <v>29</v>
      </c>
      <c r="B47" s="2" t="n">
        <v>46064</v>
      </c>
      <c r="C47" s="3" t="s">
        <v>317</v>
      </c>
      <c r="D47" s="3" t="s">
        <v>31</v>
      </c>
      <c r="E47" s="3" t="s">
        <v>32</v>
      </c>
      <c r="F47" s="3" t="s">
        <v>33</v>
      </c>
      <c r="G47" s="0" t="n">
        <v>123</v>
      </c>
      <c r="H47" s="0" t="n">
        <v>2197.83</v>
      </c>
      <c r="I47" s="0" t="n">
        <v>2417.87</v>
      </c>
      <c r="J47" s="2" t="n">
        <v>46063</v>
      </c>
      <c r="K47" s="3" t="s">
        <v>318</v>
      </c>
      <c r="L47" s="2" t="n">
        <v>46063</v>
      </c>
      <c r="M47" s="3" t="s">
        <v>319</v>
      </c>
      <c r="N47" s="2" t="n">
        <v>46064</v>
      </c>
      <c r="O47" s="3" t="s">
        <v>320</v>
      </c>
      <c r="P47" s="3" t="s">
        <v>321</v>
      </c>
      <c r="Q47" s="2" t="n">
        <v>46064</v>
      </c>
      <c r="R47" s="3" t="s">
        <v>322</v>
      </c>
      <c r="S47" s="3" t="s">
        <v>109</v>
      </c>
      <c r="T47" s="3" t="s">
        <v>40</v>
      </c>
      <c r="U47" s="3" t="s">
        <v>40</v>
      </c>
      <c r="V47" s="3" t="s">
        <v>40</v>
      </c>
      <c r="X47" s="0" t="n">
        <v>1.5</v>
      </c>
      <c r="Y47" s="0" t="n">
        <v>2.6554</v>
      </c>
      <c r="Z47" s="0" t="n">
        <v>1</v>
      </c>
      <c r="AA47" s="0" t="n">
        <v>3</v>
      </c>
      <c r="AB47" s="4" t="n">
        <f aca="false">I47*AA47*Z47</f>
        <v>7253.61</v>
      </c>
      <c r="AC47" s="4" t="n">
        <f aca="false">AB47*1.18</f>
        <v>8559.2598</v>
      </c>
      <c r="AD47" s="0" t="n">
        <v>0</v>
      </c>
    </row>
    <row r="48" customFormat="false" ht="15" hidden="false" customHeight="false" outlineLevel="0" collapsed="false">
      <c r="A48" s="0" t="s">
        <v>29</v>
      </c>
      <c r="B48" s="2" t="n">
        <v>46064</v>
      </c>
      <c r="C48" s="3" t="s">
        <v>323</v>
      </c>
      <c r="D48" s="3" t="s">
        <v>31</v>
      </c>
      <c r="E48" s="3" t="s">
        <v>32</v>
      </c>
      <c r="F48" s="3" t="s">
        <v>33</v>
      </c>
      <c r="G48" s="0" t="n">
        <v>174</v>
      </c>
      <c r="H48" s="0" t="n">
        <v>474.05</v>
      </c>
      <c r="I48" s="0" t="n">
        <v>474.1</v>
      </c>
      <c r="J48" s="2" t="n">
        <v>46062</v>
      </c>
      <c r="K48" s="3" t="s">
        <v>324</v>
      </c>
      <c r="L48" s="2" t="n">
        <v>46062</v>
      </c>
      <c r="M48" s="3" t="s">
        <v>325</v>
      </c>
      <c r="N48" s="2" t="n">
        <v>46063</v>
      </c>
      <c r="O48" s="3" t="s">
        <v>326</v>
      </c>
      <c r="P48" s="3" t="s">
        <v>327</v>
      </c>
      <c r="Q48" s="2" t="n">
        <v>46064</v>
      </c>
      <c r="R48" s="3" t="s">
        <v>328</v>
      </c>
      <c r="S48" s="3" t="s">
        <v>155</v>
      </c>
      <c r="T48" s="3" t="s">
        <v>40</v>
      </c>
      <c r="U48" s="3" t="s">
        <v>40</v>
      </c>
      <c r="V48" s="3" t="s">
        <v>40</v>
      </c>
      <c r="X48" s="0" t="n">
        <v>1.5</v>
      </c>
      <c r="Y48" s="0" t="n">
        <v>1.9981</v>
      </c>
      <c r="Z48" s="0" t="n">
        <v>1</v>
      </c>
      <c r="AA48" s="0" t="n">
        <v>3</v>
      </c>
      <c r="AB48" s="4" t="n">
        <f aca="false">I48*AA48*Z48</f>
        <v>1422.3</v>
      </c>
      <c r="AC48" s="4" t="n">
        <f aca="false">AB48*1.18</f>
        <v>1678.314</v>
      </c>
      <c r="AD48" s="0" t="n">
        <v>0</v>
      </c>
    </row>
    <row r="49" customFormat="false" ht="15" hidden="false" customHeight="false" outlineLevel="0" collapsed="false">
      <c r="A49" s="0" t="s">
        <v>29</v>
      </c>
      <c r="B49" s="2" t="n">
        <v>46064</v>
      </c>
      <c r="C49" s="3" t="s">
        <v>329</v>
      </c>
      <c r="D49" s="3" t="s">
        <v>31</v>
      </c>
      <c r="E49" s="3" t="s">
        <v>32</v>
      </c>
      <c r="F49" s="3" t="s">
        <v>33</v>
      </c>
      <c r="G49" s="0" t="n">
        <v>215</v>
      </c>
      <c r="H49" s="0" t="n">
        <v>1305.53</v>
      </c>
      <c r="I49" s="0" t="n">
        <v>1305.69</v>
      </c>
      <c r="J49" s="2" t="n">
        <v>46063</v>
      </c>
      <c r="K49" s="3" t="s">
        <v>330</v>
      </c>
      <c r="L49" s="2" t="n">
        <v>46063</v>
      </c>
      <c r="M49" s="3" t="s">
        <v>331</v>
      </c>
      <c r="N49" s="2" t="n">
        <v>46064</v>
      </c>
      <c r="O49" s="3" t="s">
        <v>224</v>
      </c>
      <c r="P49" s="3" t="s">
        <v>332</v>
      </c>
      <c r="Q49" s="2" t="n">
        <v>46064</v>
      </c>
      <c r="R49" s="3" t="s">
        <v>250</v>
      </c>
      <c r="S49" s="3" t="s">
        <v>261</v>
      </c>
      <c r="T49" s="3" t="s">
        <v>40</v>
      </c>
      <c r="U49" s="3" t="s">
        <v>40</v>
      </c>
      <c r="V49" s="3" t="s">
        <v>40</v>
      </c>
      <c r="X49" s="0" t="n">
        <v>1.5</v>
      </c>
      <c r="Y49" s="0" t="n">
        <v>2.6786</v>
      </c>
      <c r="Z49" s="0" t="n">
        <v>1</v>
      </c>
      <c r="AA49" s="0" t="n">
        <v>3</v>
      </c>
      <c r="AB49" s="4" t="n">
        <f aca="false">I49*AA49*Z49</f>
        <v>3917.07</v>
      </c>
      <c r="AC49" s="4" t="n">
        <f aca="false">AB49*1.18</f>
        <v>4622.1426</v>
      </c>
      <c r="AD49" s="0" t="n">
        <v>0</v>
      </c>
    </row>
    <row r="50" customFormat="false" ht="15" hidden="false" customHeight="false" outlineLevel="0" collapsed="false">
      <c r="A50" s="0" t="s">
        <v>62</v>
      </c>
      <c r="B50" s="2" t="n">
        <v>46064</v>
      </c>
      <c r="C50" s="3" t="s">
        <v>333</v>
      </c>
      <c r="D50" s="3" t="s">
        <v>31</v>
      </c>
      <c r="E50" s="3" t="s">
        <v>32</v>
      </c>
      <c r="F50" s="3" t="s">
        <v>33</v>
      </c>
      <c r="G50" s="0" t="n">
        <v>210</v>
      </c>
      <c r="H50" s="0" t="n">
        <v>2416.17</v>
      </c>
      <c r="I50" s="0" t="n">
        <v>3141.24</v>
      </c>
      <c r="J50" s="2" t="n">
        <v>46062</v>
      </c>
      <c r="K50" s="3" t="s">
        <v>334</v>
      </c>
      <c r="L50" s="2" t="n">
        <v>46062</v>
      </c>
      <c r="M50" s="3" t="s">
        <v>335</v>
      </c>
      <c r="N50" s="2" t="n">
        <v>46062</v>
      </c>
      <c r="O50" s="3" t="s">
        <v>336</v>
      </c>
      <c r="P50" s="3" t="s">
        <v>337</v>
      </c>
      <c r="Q50" s="2" t="n">
        <v>46064</v>
      </c>
      <c r="R50" s="3" t="s">
        <v>121</v>
      </c>
      <c r="S50" s="3" t="s">
        <v>69</v>
      </c>
      <c r="T50" s="3" t="s">
        <v>40</v>
      </c>
      <c r="U50" s="3" t="s">
        <v>40</v>
      </c>
      <c r="V50" s="3" t="s">
        <v>40</v>
      </c>
      <c r="X50" s="0" t="n">
        <v>1.5</v>
      </c>
      <c r="Y50" s="0" t="n">
        <v>3.754</v>
      </c>
      <c r="Z50" s="0" t="n">
        <v>2</v>
      </c>
      <c r="AA50" s="0" t="n">
        <v>3</v>
      </c>
      <c r="AB50" s="4" t="n">
        <f aca="false">I50*AA50*Z50</f>
        <v>18847.44</v>
      </c>
      <c r="AC50" s="4" t="n">
        <f aca="false">AB50*1.18</f>
        <v>22239.9792</v>
      </c>
      <c r="AD50" s="0" t="n">
        <v>0</v>
      </c>
    </row>
    <row r="51" customFormat="false" ht="15" hidden="false" customHeight="false" outlineLevel="0" collapsed="false">
      <c r="A51" s="0" t="s">
        <v>62</v>
      </c>
      <c r="B51" s="2" t="n">
        <v>46064</v>
      </c>
      <c r="C51" s="3" t="s">
        <v>338</v>
      </c>
      <c r="D51" s="3" t="s">
        <v>84</v>
      </c>
      <c r="E51" s="3" t="s">
        <v>32</v>
      </c>
      <c r="F51" s="3" t="s">
        <v>33</v>
      </c>
      <c r="G51" s="0" t="n">
        <v>210</v>
      </c>
      <c r="H51" s="0" t="n">
        <v>404.82</v>
      </c>
      <c r="I51" s="0" t="n">
        <v>405.09</v>
      </c>
      <c r="J51" s="2" t="n">
        <v>46062</v>
      </c>
      <c r="K51" s="3" t="s">
        <v>102</v>
      </c>
      <c r="L51" s="2" t="n">
        <v>46062</v>
      </c>
      <c r="M51" s="3" t="s">
        <v>339</v>
      </c>
      <c r="N51" s="2" t="n">
        <v>46062</v>
      </c>
      <c r="O51" s="3" t="s">
        <v>340</v>
      </c>
      <c r="P51" s="3" t="s">
        <v>341</v>
      </c>
      <c r="Q51" s="2" t="n">
        <v>46064</v>
      </c>
      <c r="R51" s="3" t="s">
        <v>158</v>
      </c>
      <c r="S51" s="3" t="s">
        <v>54</v>
      </c>
      <c r="T51" s="3" t="s">
        <v>40</v>
      </c>
      <c r="U51" s="3" t="s">
        <v>40</v>
      </c>
      <c r="V51" s="3" t="s">
        <v>40</v>
      </c>
      <c r="X51" s="0" t="n">
        <v>1.5</v>
      </c>
      <c r="Y51" s="0" t="n">
        <v>2.3352</v>
      </c>
      <c r="Z51" s="0" t="n">
        <v>1</v>
      </c>
      <c r="AA51" s="0" t="n">
        <v>3</v>
      </c>
      <c r="AB51" s="4" t="n">
        <f aca="false">I51*AA51*Z51</f>
        <v>1215.27</v>
      </c>
      <c r="AC51" s="4" t="n">
        <f aca="false">AB51*1.18</f>
        <v>1434.0186</v>
      </c>
      <c r="AD51" s="0" t="n">
        <v>0</v>
      </c>
    </row>
    <row r="52" customFormat="false" ht="15" hidden="false" customHeight="false" outlineLevel="0" collapsed="false">
      <c r="A52" s="0" t="s">
        <v>29</v>
      </c>
      <c r="B52" s="2" t="n">
        <v>46065</v>
      </c>
      <c r="C52" s="3" t="s">
        <v>342</v>
      </c>
      <c r="D52" s="3" t="s">
        <v>31</v>
      </c>
      <c r="E52" s="3" t="s">
        <v>32</v>
      </c>
      <c r="F52" s="3" t="s">
        <v>33</v>
      </c>
      <c r="G52" s="0" t="n">
        <v>202</v>
      </c>
      <c r="H52" s="0" t="n">
        <v>579.39</v>
      </c>
      <c r="I52" s="0" t="n">
        <v>753.56</v>
      </c>
      <c r="J52" s="2" t="n">
        <v>46063</v>
      </c>
      <c r="K52" s="3" t="s">
        <v>343</v>
      </c>
      <c r="L52" s="2" t="n">
        <v>46064</v>
      </c>
      <c r="M52" s="3" t="s">
        <v>344</v>
      </c>
      <c r="N52" s="2" t="n">
        <v>46064</v>
      </c>
      <c r="O52" s="3" t="s">
        <v>345</v>
      </c>
      <c r="P52" s="3" t="s">
        <v>346</v>
      </c>
      <c r="Q52" s="2" t="n">
        <v>46065</v>
      </c>
      <c r="R52" s="3" t="s">
        <v>347</v>
      </c>
      <c r="S52" s="3" t="s">
        <v>136</v>
      </c>
      <c r="T52" s="3" t="s">
        <v>40</v>
      </c>
      <c r="U52" s="3" t="s">
        <v>40</v>
      </c>
      <c r="V52" s="3" t="s">
        <v>40</v>
      </c>
      <c r="X52" s="0" t="n">
        <v>1.5</v>
      </c>
      <c r="Y52" s="0" t="n">
        <v>4.7818</v>
      </c>
      <c r="Z52" s="0" t="n">
        <v>3</v>
      </c>
      <c r="AA52" s="0" t="n">
        <v>3</v>
      </c>
      <c r="AB52" s="4" t="n">
        <f aca="false">I52*AA52*Z52</f>
        <v>6782.04</v>
      </c>
      <c r="AC52" s="4" t="n">
        <f aca="false">AB52*1.18</f>
        <v>8002.8072</v>
      </c>
      <c r="AD52" s="0" t="n">
        <v>0</v>
      </c>
    </row>
    <row r="53" customFormat="false" ht="15" hidden="false" customHeight="false" outlineLevel="0" collapsed="false">
      <c r="A53" s="0" t="s">
        <v>29</v>
      </c>
      <c r="B53" s="2" t="n">
        <v>46065</v>
      </c>
      <c r="C53" s="3" t="s">
        <v>348</v>
      </c>
      <c r="D53" s="3" t="s">
        <v>31</v>
      </c>
      <c r="E53" s="3" t="s">
        <v>32</v>
      </c>
      <c r="F53" s="3" t="s">
        <v>33</v>
      </c>
      <c r="G53" s="0" t="n">
        <v>22</v>
      </c>
      <c r="H53" s="0" t="n">
        <v>1610.22</v>
      </c>
      <c r="I53" s="0" t="n">
        <v>1771.48</v>
      </c>
      <c r="J53" s="2" t="n">
        <v>46063</v>
      </c>
      <c r="K53" s="3" t="s">
        <v>349</v>
      </c>
      <c r="L53" s="2" t="n">
        <v>46063</v>
      </c>
      <c r="M53" s="3" t="s">
        <v>350</v>
      </c>
      <c r="N53" s="2" t="n">
        <v>46064</v>
      </c>
      <c r="O53" s="3" t="s">
        <v>351</v>
      </c>
      <c r="P53" s="3" t="s">
        <v>352</v>
      </c>
      <c r="Q53" s="2" t="n">
        <v>46065</v>
      </c>
      <c r="R53" s="3" t="s">
        <v>353</v>
      </c>
      <c r="S53" s="3" t="s">
        <v>109</v>
      </c>
      <c r="T53" s="3" t="s">
        <v>354</v>
      </c>
      <c r="U53" s="3" t="s">
        <v>354</v>
      </c>
      <c r="V53" s="3" t="s">
        <v>354</v>
      </c>
      <c r="X53" s="0" t="n">
        <v>1.5</v>
      </c>
      <c r="Y53" s="0" t="n">
        <v>1.1122</v>
      </c>
      <c r="Z53" s="0" t="n">
        <v>-1</v>
      </c>
      <c r="AA53" s="0" t="n">
        <v>12</v>
      </c>
      <c r="AB53" s="4" t="n">
        <f aca="false">I53*AA53*Z53</f>
        <v>-21257.76</v>
      </c>
      <c r="AC53" s="4" t="n">
        <f aca="false">AB53*1.18</f>
        <v>-25084.1568</v>
      </c>
      <c r="AD53" s="0" t="n">
        <v>0</v>
      </c>
    </row>
    <row r="54" customFormat="false" ht="15" hidden="false" customHeight="false" outlineLevel="0" collapsed="false">
      <c r="A54" s="0" t="s">
        <v>62</v>
      </c>
      <c r="B54" s="2" t="n">
        <v>46065</v>
      </c>
      <c r="C54" s="3" t="s">
        <v>355</v>
      </c>
      <c r="D54" s="3" t="s">
        <v>31</v>
      </c>
      <c r="E54" s="3" t="s">
        <v>32</v>
      </c>
      <c r="F54" s="3" t="s">
        <v>33</v>
      </c>
      <c r="G54" s="0" t="n">
        <v>148</v>
      </c>
      <c r="H54" s="0" t="n">
        <v>1034.95</v>
      </c>
      <c r="I54" s="0" t="n">
        <v>1035</v>
      </c>
      <c r="J54" s="2" t="n">
        <v>46064</v>
      </c>
      <c r="K54" s="3" t="s">
        <v>356</v>
      </c>
      <c r="L54" s="2" t="n">
        <v>46064</v>
      </c>
      <c r="M54" s="3" t="s">
        <v>357</v>
      </c>
      <c r="N54" s="2" t="n">
        <v>46064</v>
      </c>
      <c r="O54" s="3" t="s">
        <v>358</v>
      </c>
      <c r="P54" s="3" t="s">
        <v>359</v>
      </c>
      <c r="Q54" s="2" t="n">
        <v>46065</v>
      </c>
      <c r="R54" s="3" t="s">
        <v>360</v>
      </c>
      <c r="S54" s="3" t="s">
        <v>39</v>
      </c>
      <c r="T54" s="3" t="s">
        <v>82</v>
      </c>
      <c r="U54" s="3" t="s">
        <v>82</v>
      </c>
      <c r="V54" s="3" t="s">
        <v>82</v>
      </c>
      <c r="X54" s="0" t="n">
        <v>1.5</v>
      </c>
      <c r="Y54" s="0" t="n">
        <v>3.0758</v>
      </c>
      <c r="Z54" s="0" t="n">
        <v>2</v>
      </c>
      <c r="AA54" s="0" t="n">
        <v>5</v>
      </c>
      <c r="AB54" s="4" t="n">
        <f aca="false">I54*AA54*Z54</f>
        <v>10350</v>
      </c>
      <c r="AC54" s="4" t="n">
        <f aca="false">AB54*1.18</f>
        <v>12213</v>
      </c>
      <c r="AD54" s="0" t="n">
        <v>0</v>
      </c>
    </row>
    <row r="55" customFormat="false" ht="15" hidden="false" customHeight="false" outlineLevel="0" collapsed="false">
      <c r="A55" s="0" t="s">
        <v>62</v>
      </c>
      <c r="B55" s="2" t="n">
        <v>46065</v>
      </c>
      <c r="C55" s="3" t="s">
        <v>361</v>
      </c>
      <c r="D55" s="3" t="s">
        <v>31</v>
      </c>
      <c r="E55" s="3" t="s">
        <v>32</v>
      </c>
      <c r="F55" s="3" t="s">
        <v>33</v>
      </c>
      <c r="G55" s="0" t="n">
        <v>53</v>
      </c>
      <c r="H55" s="0" t="n">
        <v>225.87</v>
      </c>
      <c r="I55" s="0" t="n">
        <v>248.62</v>
      </c>
      <c r="J55" s="2" t="n">
        <v>46063</v>
      </c>
      <c r="K55" s="3" t="s">
        <v>362</v>
      </c>
      <c r="L55" s="2" t="n">
        <v>46063</v>
      </c>
      <c r="M55" s="3" t="s">
        <v>281</v>
      </c>
      <c r="N55" s="2" t="n">
        <v>46063</v>
      </c>
      <c r="O55" s="3" t="s">
        <v>363</v>
      </c>
      <c r="P55" s="3" t="s">
        <v>364</v>
      </c>
      <c r="Q55" s="2" t="n">
        <v>46065</v>
      </c>
      <c r="R55" s="3" t="s">
        <v>365</v>
      </c>
      <c r="S55" s="3" t="s">
        <v>142</v>
      </c>
      <c r="T55" s="3" t="s">
        <v>40</v>
      </c>
      <c r="U55" s="3" t="s">
        <v>40</v>
      </c>
      <c r="V55" s="3" t="s">
        <v>40</v>
      </c>
      <c r="X55" s="0" t="n">
        <v>1.5</v>
      </c>
      <c r="Y55" s="0" t="n">
        <v>3.1175</v>
      </c>
      <c r="Z55" s="0" t="n">
        <v>2</v>
      </c>
      <c r="AA55" s="0" t="n">
        <v>3</v>
      </c>
      <c r="AB55" s="4" t="n">
        <f aca="false">I55*AA55*Z55</f>
        <v>1491.72</v>
      </c>
      <c r="AC55" s="4" t="n">
        <f aca="false">AB55*1.18</f>
        <v>1760.2296</v>
      </c>
      <c r="AD55" s="0" t="n">
        <v>0</v>
      </c>
    </row>
    <row r="56" customFormat="false" ht="15" hidden="false" customHeight="false" outlineLevel="0" collapsed="false">
      <c r="A56" s="0" t="s">
        <v>62</v>
      </c>
      <c r="B56" s="2" t="n">
        <v>46065</v>
      </c>
      <c r="C56" s="3" t="s">
        <v>366</v>
      </c>
      <c r="D56" s="3" t="s">
        <v>31</v>
      </c>
      <c r="E56" s="3" t="s">
        <v>32</v>
      </c>
      <c r="F56" s="3" t="s">
        <v>33</v>
      </c>
      <c r="G56" s="0" t="n">
        <v>50</v>
      </c>
      <c r="H56" s="0" t="n">
        <v>2369.95</v>
      </c>
      <c r="I56" s="0" t="n">
        <v>2370.19</v>
      </c>
      <c r="J56" s="2" t="n">
        <v>46063</v>
      </c>
      <c r="K56" s="3" t="s">
        <v>367</v>
      </c>
      <c r="L56" s="2" t="n">
        <v>46064</v>
      </c>
      <c r="M56" s="3" t="s">
        <v>368</v>
      </c>
      <c r="N56" s="2" t="n">
        <v>46063</v>
      </c>
      <c r="O56" s="3" t="s">
        <v>151</v>
      </c>
      <c r="P56" s="3" t="s">
        <v>369</v>
      </c>
      <c r="Q56" s="2" t="n">
        <v>46065</v>
      </c>
      <c r="R56" s="3" t="s">
        <v>370</v>
      </c>
      <c r="S56" s="3" t="s">
        <v>61</v>
      </c>
      <c r="T56" s="3" t="s">
        <v>248</v>
      </c>
      <c r="U56" s="3" t="s">
        <v>248</v>
      </c>
      <c r="V56" s="3" t="s">
        <v>248</v>
      </c>
      <c r="X56" s="0" t="n">
        <v>1.5</v>
      </c>
      <c r="Y56" s="0" t="n">
        <v>3.7972</v>
      </c>
      <c r="Z56" s="0" t="n">
        <v>2</v>
      </c>
      <c r="AA56" s="0" t="n">
        <v>3</v>
      </c>
      <c r="AB56" s="4" t="n">
        <f aca="false">I56*AA56*Z56</f>
        <v>14221.14</v>
      </c>
      <c r="AC56" s="4" t="n">
        <f aca="false">AB56*1.18</f>
        <v>16780.9452</v>
      </c>
      <c r="AD56" s="0" t="n">
        <v>0</v>
      </c>
    </row>
    <row r="57" customFormat="false" ht="15" hidden="false" customHeight="false" outlineLevel="0" collapsed="false">
      <c r="A57" s="0" t="s">
        <v>62</v>
      </c>
      <c r="B57" s="2" t="n">
        <v>46065</v>
      </c>
      <c r="C57" s="3" t="s">
        <v>371</v>
      </c>
      <c r="D57" s="3" t="s">
        <v>31</v>
      </c>
      <c r="E57" s="3" t="s">
        <v>32</v>
      </c>
      <c r="F57" s="3" t="s">
        <v>33</v>
      </c>
      <c r="G57" s="0" t="n">
        <v>202</v>
      </c>
      <c r="H57" s="0" t="n">
        <v>2078.97</v>
      </c>
      <c r="I57" s="0" t="n">
        <v>2287.26</v>
      </c>
      <c r="J57" s="2" t="n">
        <v>46062</v>
      </c>
      <c r="K57" s="3" t="s">
        <v>372</v>
      </c>
      <c r="L57" s="2" t="n">
        <v>46062</v>
      </c>
      <c r="M57" s="3" t="s">
        <v>373</v>
      </c>
      <c r="N57" s="2" t="n">
        <v>46063</v>
      </c>
      <c r="O57" s="3" t="s">
        <v>374</v>
      </c>
      <c r="P57" s="3" t="s">
        <v>375</v>
      </c>
      <c r="Q57" s="2" t="n">
        <v>46065</v>
      </c>
      <c r="R57" s="3" t="s">
        <v>376</v>
      </c>
      <c r="S57" s="3" t="s">
        <v>261</v>
      </c>
      <c r="T57" s="3" t="s">
        <v>40</v>
      </c>
      <c r="U57" s="3" t="s">
        <v>40</v>
      </c>
      <c r="V57" s="3" t="s">
        <v>40</v>
      </c>
      <c r="X57" s="0" t="n">
        <v>1.5</v>
      </c>
      <c r="Y57" s="0" t="n">
        <v>4.1169</v>
      </c>
      <c r="Z57" s="0" t="n">
        <v>3</v>
      </c>
      <c r="AA57" s="0" t="n">
        <v>3</v>
      </c>
      <c r="AB57" s="4" t="n">
        <f aca="false">I57*AA57*Z57</f>
        <v>20585.34</v>
      </c>
      <c r="AC57" s="4" t="n">
        <f aca="false">AB57*1.18</f>
        <v>24290.7012</v>
      </c>
      <c r="AD57" s="0" t="n">
        <v>0</v>
      </c>
    </row>
    <row r="58" customFormat="false" ht="15" hidden="false" customHeight="false" outlineLevel="0" collapsed="false">
      <c r="A58" s="0" t="s">
        <v>29</v>
      </c>
      <c r="B58" s="2" t="n">
        <v>46066</v>
      </c>
      <c r="C58" s="3" t="s">
        <v>377</v>
      </c>
      <c r="D58" s="3" t="s">
        <v>31</v>
      </c>
      <c r="E58" s="3" t="s">
        <v>32</v>
      </c>
      <c r="F58" s="3" t="s">
        <v>33</v>
      </c>
      <c r="G58" s="0" t="n">
        <v>150</v>
      </c>
      <c r="H58" s="0" t="n">
        <v>2845.12</v>
      </c>
      <c r="I58" s="0" t="n">
        <v>2845.57</v>
      </c>
      <c r="J58" s="2" t="n">
        <v>46064</v>
      </c>
      <c r="K58" s="3" t="s">
        <v>378</v>
      </c>
      <c r="L58" s="2" t="n">
        <v>46065</v>
      </c>
      <c r="M58" s="3" t="s">
        <v>379</v>
      </c>
      <c r="N58" s="2" t="n">
        <v>46064</v>
      </c>
      <c r="O58" s="3" t="s">
        <v>380</v>
      </c>
      <c r="P58" s="3" t="s">
        <v>381</v>
      </c>
      <c r="Q58" s="2" t="n">
        <v>46066</v>
      </c>
      <c r="R58" s="3" t="s">
        <v>382</v>
      </c>
      <c r="S58" s="3" t="s">
        <v>142</v>
      </c>
      <c r="T58" s="3" t="s">
        <v>40</v>
      </c>
      <c r="U58" s="3" t="s">
        <v>40</v>
      </c>
      <c r="V58" s="3" t="s">
        <v>40</v>
      </c>
      <c r="X58" s="0" t="n">
        <v>1.5</v>
      </c>
      <c r="Y58" s="0" t="n">
        <v>4.5186</v>
      </c>
      <c r="Z58" s="0" t="n">
        <v>3</v>
      </c>
      <c r="AA58" s="0" t="n">
        <v>3</v>
      </c>
      <c r="AB58" s="4" t="n">
        <f aca="false">I58*AA58*Z58</f>
        <v>25610.13</v>
      </c>
      <c r="AC58" s="4" t="n">
        <f aca="false">AB58*1.18</f>
        <v>30219.9534</v>
      </c>
      <c r="AD58" s="0" t="n">
        <v>0</v>
      </c>
    </row>
    <row r="59" customFormat="false" ht="15" hidden="false" customHeight="false" outlineLevel="0" collapsed="false">
      <c r="A59" s="0" t="s">
        <v>29</v>
      </c>
      <c r="B59" s="2" t="n">
        <v>46066</v>
      </c>
      <c r="C59" s="3" t="s">
        <v>383</v>
      </c>
      <c r="D59" s="3" t="s">
        <v>84</v>
      </c>
      <c r="E59" s="3" t="s">
        <v>32</v>
      </c>
      <c r="F59" s="3" t="s">
        <v>33</v>
      </c>
      <c r="G59" s="0" t="n">
        <v>200</v>
      </c>
      <c r="H59" s="0" t="n">
        <v>2052.96</v>
      </c>
      <c r="I59" s="0" t="n">
        <v>2669.29</v>
      </c>
      <c r="J59" s="2" t="n">
        <v>46063</v>
      </c>
      <c r="K59" s="3" t="s">
        <v>384</v>
      </c>
      <c r="L59" s="2" t="n">
        <v>46063</v>
      </c>
      <c r="M59" s="3" t="s">
        <v>385</v>
      </c>
      <c r="N59" s="2" t="n">
        <v>46063</v>
      </c>
      <c r="O59" s="3" t="s">
        <v>285</v>
      </c>
      <c r="P59" s="3" t="s">
        <v>386</v>
      </c>
      <c r="Q59" s="2" t="n">
        <v>46066</v>
      </c>
      <c r="R59" s="3" t="s">
        <v>38</v>
      </c>
      <c r="S59" s="3" t="s">
        <v>61</v>
      </c>
      <c r="T59" s="3" t="s">
        <v>40</v>
      </c>
      <c r="U59" s="3" t="s">
        <v>40</v>
      </c>
      <c r="V59" s="3" t="s">
        <v>40</v>
      </c>
      <c r="X59" s="0" t="n">
        <v>1.5</v>
      </c>
      <c r="Y59" s="0" t="n">
        <v>4.7344</v>
      </c>
      <c r="Z59" s="0" t="n">
        <v>3</v>
      </c>
      <c r="AA59" s="0" t="n">
        <v>3</v>
      </c>
      <c r="AB59" s="4" t="n">
        <f aca="false">I59*AA59*Z59</f>
        <v>24023.61</v>
      </c>
      <c r="AC59" s="4" t="n">
        <f aca="false">AB59*1.18</f>
        <v>28347.8598</v>
      </c>
      <c r="AD59" s="0" t="n">
        <v>0</v>
      </c>
    </row>
    <row r="60" customFormat="false" ht="15" hidden="false" customHeight="false" outlineLevel="0" collapsed="false">
      <c r="A60" s="0" t="s">
        <v>62</v>
      </c>
      <c r="B60" s="2" t="n">
        <v>46066</v>
      </c>
      <c r="C60" s="3" t="s">
        <v>387</v>
      </c>
      <c r="D60" s="3" t="s">
        <v>31</v>
      </c>
      <c r="E60" s="3" t="s">
        <v>32</v>
      </c>
      <c r="F60" s="3" t="s">
        <v>33</v>
      </c>
      <c r="G60" s="0" t="n">
        <v>35</v>
      </c>
      <c r="H60" s="0" t="n">
        <v>2766.26</v>
      </c>
      <c r="I60" s="0" t="n">
        <v>2766.37</v>
      </c>
      <c r="J60" s="2" t="n">
        <v>46063</v>
      </c>
      <c r="K60" s="3" t="s">
        <v>388</v>
      </c>
      <c r="L60" s="2" t="n">
        <v>46063</v>
      </c>
      <c r="M60" s="3" t="s">
        <v>389</v>
      </c>
      <c r="N60" s="2" t="n">
        <v>46063</v>
      </c>
      <c r="O60" s="3" t="s">
        <v>390</v>
      </c>
      <c r="P60" s="3" t="s">
        <v>391</v>
      </c>
      <c r="Q60" s="2" t="n">
        <v>46066</v>
      </c>
      <c r="R60" s="3" t="s">
        <v>392</v>
      </c>
      <c r="S60" s="3" t="s">
        <v>54</v>
      </c>
      <c r="T60" s="3" t="s">
        <v>40</v>
      </c>
      <c r="U60" s="3" t="s">
        <v>40</v>
      </c>
      <c r="V60" s="3" t="s">
        <v>40</v>
      </c>
      <c r="X60" s="0" t="n">
        <v>1.5</v>
      </c>
      <c r="Y60" s="0" t="n">
        <v>4.7085</v>
      </c>
      <c r="Z60" s="0" t="n">
        <v>3</v>
      </c>
      <c r="AA60" s="0" t="n">
        <v>3</v>
      </c>
      <c r="AB60" s="4" t="n">
        <f aca="false">I60*AA60*Z60</f>
        <v>24897.33</v>
      </c>
      <c r="AC60" s="4" t="n">
        <f aca="false">AB60*1.18</f>
        <v>29378.8494</v>
      </c>
      <c r="AD60" s="0" t="n">
        <v>0</v>
      </c>
    </row>
    <row r="61" customFormat="false" ht="15" hidden="false" customHeight="false" outlineLevel="0" collapsed="false">
      <c r="A61" s="0" t="s">
        <v>62</v>
      </c>
      <c r="B61" s="2" t="n">
        <v>46066</v>
      </c>
      <c r="C61" s="3" t="s">
        <v>393</v>
      </c>
      <c r="D61" s="3" t="s">
        <v>84</v>
      </c>
      <c r="E61" s="3" t="s">
        <v>32</v>
      </c>
      <c r="F61" s="3" t="s">
        <v>33</v>
      </c>
      <c r="G61" s="0" t="n">
        <v>31</v>
      </c>
      <c r="H61" s="0" t="n">
        <v>501.93</v>
      </c>
      <c r="I61" s="0" t="n">
        <v>502.31</v>
      </c>
      <c r="J61" s="2" t="n">
        <v>46064</v>
      </c>
      <c r="K61" s="3" t="s">
        <v>394</v>
      </c>
      <c r="L61" s="2" t="n">
        <v>46065</v>
      </c>
      <c r="M61" s="3" t="s">
        <v>395</v>
      </c>
      <c r="N61" s="2" t="n">
        <v>46065</v>
      </c>
      <c r="O61" s="3" t="s">
        <v>396</v>
      </c>
      <c r="P61" s="3" t="s">
        <v>397</v>
      </c>
      <c r="Q61" s="2" t="n">
        <v>46066</v>
      </c>
      <c r="R61" s="3" t="s">
        <v>300</v>
      </c>
      <c r="S61" s="3" t="s">
        <v>54</v>
      </c>
      <c r="T61" s="3" t="s">
        <v>398</v>
      </c>
      <c r="U61" s="3" t="s">
        <v>398</v>
      </c>
      <c r="V61" s="3" t="s">
        <v>398</v>
      </c>
      <c r="X61" s="0" t="n">
        <v>1.5</v>
      </c>
      <c r="Y61" s="0" t="n">
        <v>1.5288</v>
      </c>
      <c r="Z61" s="0" t="n">
        <v>1</v>
      </c>
      <c r="AA61" s="0" t="n">
        <v>12</v>
      </c>
      <c r="AB61" s="4" t="n">
        <f aca="false">I61*AA61*Z61</f>
        <v>6027.72</v>
      </c>
      <c r="AC61" s="4" t="n">
        <f aca="false">AB61*1.18</f>
        <v>7112.7096</v>
      </c>
      <c r="AD61" s="0" t="n">
        <v>0</v>
      </c>
    </row>
    <row r="62" customFormat="false" ht="15" hidden="false" customHeight="false" outlineLevel="0" collapsed="false">
      <c r="A62" s="0" t="s">
        <v>62</v>
      </c>
      <c r="B62" s="2" t="n">
        <v>46066</v>
      </c>
      <c r="C62" s="3" t="s">
        <v>399</v>
      </c>
      <c r="D62" s="3" t="s">
        <v>31</v>
      </c>
      <c r="E62" s="3" t="s">
        <v>32</v>
      </c>
      <c r="F62" s="3" t="s">
        <v>33</v>
      </c>
      <c r="G62" s="0" t="n">
        <v>178</v>
      </c>
      <c r="H62" s="0" t="n">
        <v>661.59</v>
      </c>
      <c r="I62" s="0" t="n">
        <v>860.35</v>
      </c>
      <c r="J62" s="2" t="n">
        <v>46063</v>
      </c>
      <c r="K62" s="3" t="s">
        <v>148</v>
      </c>
      <c r="L62" s="2" t="n">
        <v>46063</v>
      </c>
      <c r="M62" s="3" t="s">
        <v>400</v>
      </c>
      <c r="N62" s="2" t="n">
        <v>46064</v>
      </c>
      <c r="O62" s="3" t="s">
        <v>401</v>
      </c>
      <c r="P62" s="3" t="s">
        <v>402</v>
      </c>
      <c r="Q62" s="2" t="n">
        <v>46066</v>
      </c>
      <c r="R62" s="3" t="s">
        <v>403</v>
      </c>
      <c r="S62" s="3" t="s">
        <v>149</v>
      </c>
      <c r="T62" s="3" t="s">
        <v>90</v>
      </c>
      <c r="U62" s="3" t="s">
        <v>90</v>
      </c>
      <c r="V62" s="3" t="s">
        <v>90</v>
      </c>
      <c r="X62" s="0" t="n">
        <v>1.5</v>
      </c>
      <c r="Y62" s="0" t="n">
        <v>3.3054</v>
      </c>
      <c r="Z62" s="0" t="n">
        <v>2</v>
      </c>
      <c r="AA62" s="0" t="n">
        <v>3</v>
      </c>
      <c r="AB62" s="4" t="n">
        <f aca="false">I62*AA62*Z62</f>
        <v>5162.1</v>
      </c>
      <c r="AC62" s="4" t="n">
        <f aca="false">AB62*1.18</f>
        <v>6091.278</v>
      </c>
      <c r="AD62" s="0" t="n">
        <v>0</v>
      </c>
    </row>
    <row r="63" customFormat="false" ht="15" hidden="false" customHeight="false" outlineLevel="0" collapsed="false">
      <c r="A63" s="0" t="s">
        <v>62</v>
      </c>
      <c r="B63" s="2" t="n">
        <v>46066</v>
      </c>
      <c r="C63" s="3" t="s">
        <v>404</v>
      </c>
      <c r="D63" s="3" t="s">
        <v>31</v>
      </c>
      <c r="E63" s="3" t="s">
        <v>32</v>
      </c>
      <c r="F63" s="3" t="s">
        <v>33</v>
      </c>
      <c r="G63" s="0" t="n">
        <v>82</v>
      </c>
      <c r="H63" s="0" t="n">
        <v>2901.35</v>
      </c>
      <c r="I63" s="0" t="n">
        <v>2901.73</v>
      </c>
      <c r="J63" s="2" t="n">
        <v>46064</v>
      </c>
      <c r="K63" s="3" t="s">
        <v>405</v>
      </c>
      <c r="L63" s="2" t="n">
        <v>46064</v>
      </c>
      <c r="M63" s="3" t="s">
        <v>406</v>
      </c>
      <c r="N63" s="2" t="n">
        <v>46064</v>
      </c>
      <c r="O63" s="3" t="s">
        <v>407</v>
      </c>
      <c r="P63" s="3" t="s">
        <v>408</v>
      </c>
      <c r="Q63" s="2" t="n">
        <v>46066</v>
      </c>
      <c r="R63" s="3" t="s">
        <v>409</v>
      </c>
      <c r="S63" s="3" t="s">
        <v>261</v>
      </c>
      <c r="T63" s="3" t="s">
        <v>40</v>
      </c>
      <c r="U63" s="3" t="s">
        <v>40</v>
      </c>
      <c r="V63" s="3" t="s">
        <v>40</v>
      </c>
      <c r="X63" s="0" t="n">
        <v>1.5</v>
      </c>
      <c r="Y63" s="0" t="n">
        <v>5.0815</v>
      </c>
      <c r="Z63" s="0" t="n">
        <v>4</v>
      </c>
      <c r="AA63" s="0" t="n">
        <v>3</v>
      </c>
      <c r="AB63" s="4" t="n">
        <f aca="false">I63*AA63*Z63</f>
        <v>34820.76</v>
      </c>
      <c r="AC63" s="4" t="n">
        <f aca="false">AB63*1.18</f>
        <v>41088.4968</v>
      </c>
      <c r="AD63" s="0" t="n">
        <v>0</v>
      </c>
    </row>
    <row r="64" customFormat="false" ht="15" hidden="false" customHeight="false" outlineLevel="0" collapsed="false">
      <c r="A64" s="0" t="s">
        <v>29</v>
      </c>
      <c r="B64" s="2" t="n">
        <v>46067</v>
      </c>
      <c r="C64" s="3" t="s">
        <v>410</v>
      </c>
      <c r="D64" s="3" t="s">
        <v>31</v>
      </c>
      <c r="E64" s="3" t="s">
        <v>32</v>
      </c>
      <c r="F64" s="3" t="s">
        <v>33</v>
      </c>
      <c r="G64" s="0" t="n">
        <v>88</v>
      </c>
      <c r="H64" s="0" t="n">
        <v>2588.7</v>
      </c>
      <c r="I64" s="0" t="n">
        <v>2589.03</v>
      </c>
      <c r="J64" s="2" t="n">
        <v>46066</v>
      </c>
      <c r="K64" s="3" t="s">
        <v>411</v>
      </c>
      <c r="L64" s="2" t="n">
        <v>46066</v>
      </c>
      <c r="M64" s="3" t="s">
        <v>412</v>
      </c>
      <c r="N64" s="2" t="n">
        <v>46067</v>
      </c>
      <c r="O64" s="3" t="s">
        <v>237</v>
      </c>
      <c r="P64" s="3" t="s">
        <v>413</v>
      </c>
      <c r="Q64" s="2" t="n">
        <v>46067</v>
      </c>
      <c r="R64" s="3" t="s">
        <v>414</v>
      </c>
      <c r="S64" s="3" t="s">
        <v>155</v>
      </c>
      <c r="T64" s="3" t="s">
        <v>248</v>
      </c>
      <c r="U64" s="3" t="s">
        <v>248</v>
      </c>
      <c r="V64" s="3" t="s">
        <v>248</v>
      </c>
      <c r="X64" s="0" t="n">
        <v>1.5</v>
      </c>
      <c r="Y64" s="0" t="n">
        <v>1.469</v>
      </c>
      <c r="Z64" s="0" t="n">
        <v>-1</v>
      </c>
      <c r="AA64" s="0" t="n">
        <v>3</v>
      </c>
      <c r="AB64" s="4" t="n">
        <f aca="false">I64*AA64*Z64</f>
        <v>-7767.09</v>
      </c>
      <c r="AC64" s="4" t="n">
        <f aca="false">AB64*1.18</f>
        <v>-9165.1662</v>
      </c>
      <c r="AD64" s="0" t="n">
        <v>0</v>
      </c>
    </row>
    <row r="65" customFormat="false" ht="15" hidden="false" customHeight="false" outlineLevel="0" collapsed="false">
      <c r="A65" s="0" t="s">
        <v>29</v>
      </c>
      <c r="B65" s="2" t="n">
        <v>46067</v>
      </c>
      <c r="C65" s="3" t="s">
        <v>415</v>
      </c>
      <c r="D65" s="3" t="s">
        <v>31</v>
      </c>
      <c r="E65" s="3" t="s">
        <v>32</v>
      </c>
      <c r="F65" s="3" t="s">
        <v>33</v>
      </c>
      <c r="G65" s="0" t="n">
        <v>40</v>
      </c>
      <c r="H65" s="0" t="n">
        <v>647.38</v>
      </c>
      <c r="I65" s="0" t="n">
        <v>647.67</v>
      </c>
      <c r="J65" s="2" t="n">
        <v>46064</v>
      </c>
      <c r="K65" s="3" t="s">
        <v>400</v>
      </c>
      <c r="L65" s="2" t="n">
        <v>46064</v>
      </c>
      <c r="M65" s="3" t="s">
        <v>416</v>
      </c>
      <c r="N65" s="2" t="n">
        <v>46065</v>
      </c>
      <c r="O65" s="3" t="s">
        <v>417</v>
      </c>
      <c r="P65" s="3" t="s">
        <v>418</v>
      </c>
      <c r="Q65" s="2" t="n">
        <v>46067</v>
      </c>
      <c r="R65" s="3" t="s">
        <v>172</v>
      </c>
      <c r="S65" s="3" t="s">
        <v>155</v>
      </c>
      <c r="T65" s="3" t="s">
        <v>40</v>
      </c>
      <c r="U65" s="3" t="s">
        <v>40</v>
      </c>
      <c r="V65" s="3" t="s">
        <v>40</v>
      </c>
      <c r="X65" s="0" t="n">
        <v>1.5</v>
      </c>
      <c r="Y65" s="0" t="n">
        <v>0.3932</v>
      </c>
      <c r="Z65" s="0" t="n">
        <v>-1</v>
      </c>
      <c r="AA65" s="0" t="n">
        <v>3</v>
      </c>
      <c r="AB65" s="4" t="n">
        <f aca="false">I65*AA65*Z65</f>
        <v>-1943.01</v>
      </c>
      <c r="AC65" s="4" t="n">
        <f aca="false">AB65*1.18</f>
        <v>-2292.7518</v>
      </c>
      <c r="AD65" s="0" t="n">
        <v>0</v>
      </c>
    </row>
    <row r="66" customFormat="false" ht="15" hidden="false" customHeight="false" outlineLevel="0" collapsed="false">
      <c r="A66" s="0" t="s">
        <v>62</v>
      </c>
      <c r="B66" s="2" t="n">
        <v>46067</v>
      </c>
      <c r="C66" s="3" t="s">
        <v>419</v>
      </c>
      <c r="D66" s="3" t="s">
        <v>31</v>
      </c>
      <c r="E66" s="3" t="s">
        <v>32</v>
      </c>
      <c r="F66" s="3" t="s">
        <v>33</v>
      </c>
      <c r="G66" s="0" t="n">
        <v>207</v>
      </c>
      <c r="H66" s="0" t="n">
        <v>1189.28</v>
      </c>
      <c r="I66" s="0" t="n">
        <v>1189.63</v>
      </c>
      <c r="J66" s="2" t="n">
        <v>46065</v>
      </c>
      <c r="K66" s="3" t="s">
        <v>420</v>
      </c>
      <c r="L66" s="2" t="n">
        <v>46065</v>
      </c>
      <c r="M66" s="3" t="s">
        <v>421</v>
      </c>
      <c r="N66" s="2" t="n">
        <v>46066</v>
      </c>
      <c r="O66" s="3" t="s">
        <v>422</v>
      </c>
      <c r="P66" s="3" t="s">
        <v>423</v>
      </c>
      <c r="Q66" s="2" t="n">
        <v>46067</v>
      </c>
      <c r="R66" s="3" t="s">
        <v>424</v>
      </c>
      <c r="S66" s="3" t="s">
        <v>149</v>
      </c>
      <c r="T66" s="3" t="s">
        <v>425</v>
      </c>
      <c r="U66" s="3" t="s">
        <v>425</v>
      </c>
      <c r="V66" s="3" t="s">
        <v>425</v>
      </c>
      <c r="X66" s="0" t="n">
        <v>1.5</v>
      </c>
      <c r="Y66" s="0" t="n">
        <v>0.3652</v>
      </c>
      <c r="Z66" s="0" t="n">
        <v>-1</v>
      </c>
      <c r="AA66" s="0" t="n">
        <v>5</v>
      </c>
      <c r="AB66" s="4" t="n">
        <f aca="false">I66*AA66*Z66</f>
        <v>-5948.15</v>
      </c>
      <c r="AC66" s="4" t="n">
        <f aca="false">AB66*1.18</f>
        <v>-7018.817</v>
      </c>
      <c r="AD66" s="0" t="n">
        <v>0</v>
      </c>
    </row>
    <row r="67" customFormat="false" ht="15" hidden="false" customHeight="false" outlineLevel="0" collapsed="false">
      <c r="A67" s="0" t="s">
        <v>62</v>
      </c>
      <c r="B67" s="2" t="n">
        <v>46067</v>
      </c>
      <c r="C67" s="3" t="s">
        <v>426</v>
      </c>
      <c r="D67" s="3" t="s">
        <v>31</v>
      </c>
      <c r="E67" s="3" t="s">
        <v>32</v>
      </c>
      <c r="F67" s="3" t="s">
        <v>33</v>
      </c>
      <c r="G67" s="0" t="n">
        <v>37</v>
      </c>
      <c r="H67" s="0" t="n">
        <v>455.29</v>
      </c>
      <c r="I67" s="0" t="n">
        <v>455.6</v>
      </c>
      <c r="J67" s="2" t="n">
        <v>46065</v>
      </c>
      <c r="K67" s="3" t="s">
        <v>427</v>
      </c>
      <c r="L67" s="2" t="n">
        <v>46065</v>
      </c>
      <c r="M67" s="3" t="s">
        <v>428</v>
      </c>
      <c r="N67" s="2" t="n">
        <v>46065</v>
      </c>
      <c r="O67" s="3" t="s">
        <v>429</v>
      </c>
      <c r="P67" s="3" t="s">
        <v>430</v>
      </c>
      <c r="Q67" s="2" t="n">
        <v>46067</v>
      </c>
      <c r="R67" s="3" t="s">
        <v>431</v>
      </c>
      <c r="S67" s="3" t="s">
        <v>109</v>
      </c>
      <c r="T67" s="3" t="s">
        <v>40</v>
      </c>
      <c r="U67" s="3" t="s">
        <v>40</v>
      </c>
      <c r="V67" s="3" t="s">
        <v>40</v>
      </c>
      <c r="X67" s="0" t="n">
        <v>1.5</v>
      </c>
      <c r="Y67" s="0" t="n">
        <v>1.9189</v>
      </c>
      <c r="Z67" s="0" t="n">
        <v>1</v>
      </c>
      <c r="AA67" s="0" t="n">
        <v>3</v>
      </c>
      <c r="AB67" s="4" t="n">
        <f aca="false">I67*AA67*Z67</f>
        <v>1366.8</v>
      </c>
      <c r="AC67" s="4" t="n">
        <f aca="false">AB67*1.18</f>
        <v>1612.824</v>
      </c>
      <c r="AD67" s="0" t="n">
        <v>0</v>
      </c>
    </row>
    <row r="68" customFormat="false" ht="15" hidden="false" customHeight="false" outlineLevel="0" collapsed="false">
      <c r="A68" s="0" t="s">
        <v>29</v>
      </c>
      <c r="B68" s="2" t="n">
        <v>46068</v>
      </c>
      <c r="C68" s="3" t="s">
        <v>432</v>
      </c>
      <c r="D68" s="3" t="s">
        <v>84</v>
      </c>
      <c r="E68" s="3" t="s">
        <v>32</v>
      </c>
      <c r="F68" s="3" t="s">
        <v>33</v>
      </c>
      <c r="G68" s="0" t="n">
        <v>69</v>
      </c>
      <c r="H68" s="0" t="n">
        <v>1168.51</v>
      </c>
      <c r="I68" s="0" t="n">
        <v>1168.71</v>
      </c>
      <c r="J68" s="2" t="n">
        <v>46065</v>
      </c>
      <c r="K68" s="3" t="s">
        <v>433</v>
      </c>
      <c r="L68" s="2" t="n">
        <v>46066</v>
      </c>
      <c r="M68" s="3" t="s">
        <v>434</v>
      </c>
      <c r="N68" s="2" t="n">
        <v>46066</v>
      </c>
      <c r="O68" s="3" t="s">
        <v>435</v>
      </c>
      <c r="P68" s="3" t="s">
        <v>436</v>
      </c>
      <c r="Q68" s="2" t="n">
        <v>46068</v>
      </c>
      <c r="R68" s="3" t="s">
        <v>437</v>
      </c>
      <c r="S68" s="3" t="s">
        <v>136</v>
      </c>
      <c r="T68" s="3" t="s">
        <v>40</v>
      </c>
      <c r="U68" s="3" t="s">
        <v>40</v>
      </c>
      <c r="V68" s="3" t="s">
        <v>40</v>
      </c>
      <c r="X68" s="0" t="n">
        <v>1.5</v>
      </c>
      <c r="Y68" s="0" t="n">
        <v>1.2542</v>
      </c>
      <c r="Z68" s="0" t="n">
        <v>-1</v>
      </c>
      <c r="AA68" s="0" t="n">
        <v>3</v>
      </c>
      <c r="AB68" s="4" t="n">
        <f aca="false">I68*AA68*Z68</f>
        <v>-3506.13</v>
      </c>
      <c r="AC68" s="4" t="n">
        <f aca="false">AB68*1.18</f>
        <v>-4137.2334</v>
      </c>
      <c r="AD68" s="0" t="n">
        <v>0</v>
      </c>
    </row>
    <row r="69" customFormat="false" ht="15" hidden="false" customHeight="false" outlineLevel="0" collapsed="false">
      <c r="A69" s="0" t="s">
        <v>29</v>
      </c>
      <c r="B69" s="2" t="n">
        <v>46068</v>
      </c>
      <c r="C69" s="3" t="s">
        <v>438</v>
      </c>
      <c r="D69" s="3" t="s">
        <v>31</v>
      </c>
      <c r="E69" s="3" t="s">
        <v>32</v>
      </c>
      <c r="F69" s="3" t="s">
        <v>33</v>
      </c>
      <c r="G69" s="0" t="n">
        <v>191</v>
      </c>
      <c r="H69" s="0" t="n">
        <v>896.84</v>
      </c>
      <c r="I69" s="0" t="n">
        <v>897.18</v>
      </c>
      <c r="J69" s="2" t="n">
        <v>46065</v>
      </c>
      <c r="K69" s="3" t="s">
        <v>439</v>
      </c>
      <c r="L69" s="2" t="n">
        <v>46065</v>
      </c>
      <c r="M69" s="3" t="s">
        <v>440</v>
      </c>
      <c r="N69" s="2" t="n">
        <v>46065</v>
      </c>
      <c r="O69" s="3" t="s">
        <v>100</v>
      </c>
      <c r="P69" s="3" t="s">
        <v>441</v>
      </c>
      <c r="Q69" s="2" t="n">
        <v>46068</v>
      </c>
      <c r="R69" s="3" t="s">
        <v>382</v>
      </c>
      <c r="S69" s="3" t="s">
        <v>69</v>
      </c>
      <c r="T69" s="3" t="s">
        <v>40</v>
      </c>
      <c r="U69" s="3" t="s">
        <v>40</v>
      </c>
      <c r="V69" s="3" t="s">
        <v>40</v>
      </c>
      <c r="X69" s="0" t="n">
        <v>1.5</v>
      </c>
      <c r="Y69" s="0" t="n">
        <v>0.8746</v>
      </c>
      <c r="Z69" s="0" t="n">
        <v>-1</v>
      </c>
      <c r="AA69" s="0" t="n">
        <v>3</v>
      </c>
      <c r="AB69" s="4" t="n">
        <f aca="false">I69*AA69*Z69</f>
        <v>-2691.54</v>
      </c>
      <c r="AC69" s="4" t="n">
        <f aca="false">AB69*1.18</f>
        <v>-3176.0172</v>
      </c>
      <c r="AD69" s="0" t="n">
        <v>0</v>
      </c>
    </row>
    <row r="70" customFormat="false" ht="15" hidden="false" customHeight="false" outlineLevel="0" collapsed="false">
      <c r="A70" s="0" t="s">
        <v>29</v>
      </c>
      <c r="B70" s="2" t="n">
        <v>46068</v>
      </c>
      <c r="C70" s="3" t="s">
        <v>442</v>
      </c>
      <c r="D70" s="3" t="s">
        <v>84</v>
      </c>
      <c r="E70" s="3" t="s">
        <v>32</v>
      </c>
      <c r="F70" s="3" t="s">
        <v>33</v>
      </c>
      <c r="G70" s="0" t="n">
        <v>155</v>
      </c>
      <c r="H70" s="0" t="n">
        <v>416.13</v>
      </c>
      <c r="I70" s="0" t="n">
        <v>624.46</v>
      </c>
      <c r="J70" s="2" t="n">
        <v>46065</v>
      </c>
      <c r="K70" s="3" t="s">
        <v>443</v>
      </c>
      <c r="L70" s="2" t="n">
        <v>46066</v>
      </c>
      <c r="M70" s="3" t="s">
        <v>145</v>
      </c>
      <c r="N70" s="2" t="n">
        <v>46066</v>
      </c>
      <c r="O70" s="3" t="s">
        <v>444</v>
      </c>
      <c r="P70" s="3" t="s">
        <v>445</v>
      </c>
      <c r="Q70" s="2" t="n">
        <v>46068</v>
      </c>
      <c r="R70" s="3" t="s">
        <v>446</v>
      </c>
      <c r="S70" s="3" t="s">
        <v>304</v>
      </c>
      <c r="T70" s="3" t="s">
        <v>40</v>
      </c>
      <c r="U70" s="3" t="s">
        <v>40</v>
      </c>
      <c r="V70" s="3" t="s">
        <v>40</v>
      </c>
      <c r="X70" s="0" t="n">
        <v>1.5</v>
      </c>
      <c r="Y70" s="0" t="n">
        <v>1.8245</v>
      </c>
      <c r="Z70" s="0" t="n">
        <v>1</v>
      </c>
      <c r="AA70" s="0" t="n">
        <v>3</v>
      </c>
      <c r="AB70" s="4" t="n">
        <f aca="false">I70*AA70*Z70</f>
        <v>1873.38</v>
      </c>
      <c r="AC70" s="4" t="n">
        <f aca="false">AB70*1.18</f>
        <v>2210.5884</v>
      </c>
      <c r="AD70" s="0" t="n">
        <v>0</v>
      </c>
    </row>
    <row r="71" customFormat="false" ht="15" hidden="false" customHeight="false" outlineLevel="0" collapsed="false">
      <c r="A71" s="0" t="s">
        <v>62</v>
      </c>
      <c r="B71" s="2" t="n">
        <v>46068</v>
      </c>
      <c r="C71" s="3" t="s">
        <v>447</v>
      </c>
      <c r="D71" s="3" t="s">
        <v>31</v>
      </c>
      <c r="E71" s="3" t="s">
        <v>32</v>
      </c>
      <c r="F71" s="3" t="s">
        <v>33</v>
      </c>
      <c r="G71" s="0" t="n">
        <v>219</v>
      </c>
      <c r="H71" s="0" t="n">
        <v>2864.68</v>
      </c>
      <c r="I71" s="0" t="n">
        <v>3151.5</v>
      </c>
      <c r="J71" s="2" t="n">
        <v>46066</v>
      </c>
      <c r="K71" s="3" t="s">
        <v>448</v>
      </c>
      <c r="L71" s="2" t="n">
        <v>46066</v>
      </c>
      <c r="M71" s="3" t="s">
        <v>449</v>
      </c>
      <c r="N71" s="2" t="n">
        <v>46066</v>
      </c>
      <c r="O71" s="3" t="s">
        <v>450</v>
      </c>
      <c r="P71" s="3" t="s">
        <v>451</v>
      </c>
      <c r="Q71" s="2" t="n">
        <v>46068</v>
      </c>
      <c r="R71" s="3" t="s">
        <v>38</v>
      </c>
      <c r="S71" s="3" t="s">
        <v>142</v>
      </c>
      <c r="T71" s="3" t="s">
        <v>425</v>
      </c>
      <c r="U71" s="3" t="s">
        <v>425</v>
      </c>
      <c r="V71" s="3" t="s">
        <v>425</v>
      </c>
      <c r="X71" s="0" t="n">
        <v>1.5</v>
      </c>
      <c r="Y71" s="0" t="n">
        <v>3.149</v>
      </c>
      <c r="Z71" s="0" t="n">
        <v>2</v>
      </c>
      <c r="AA71" s="0" t="n">
        <v>5</v>
      </c>
      <c r="AB71" s="4" t="n">
        <f aca="false">I71*AA71*Z71</f>
        <v>31515</v>
      </c>
      <c r="AC71" s="4" t="n">
        <f aca="false">AB71*1.18</f>
        <v>37187.7</v>
      </c>
      <c r="AD71" s="0" t="n">
        <v>0</v>
      </c>
    </row>
    <row r="72" customFormat="false" ht="15" hidden="false" customHeight="false" outlineLevel="0" collapsed="false">
      <c r="A72" s="0" t="s">
        <v>62</v>
      </c>
      <c r="B72" s="2" t="n">
        <v>46068</v>
      </c>
      <c r="C72" s="3" t="s">
        <v>452</v>
      </c>
      <c r="D72" s="3" t="s">
        <v>84</v>
      </c>
      <c r="E72" s="3" t="s">
        <v>32</v>
      </c>
      <c r="F72" s="3" t="s">
        <v>33</v>
      </c>
      <c r="G72" s="0" t="n">
        <v>204</v>
      </c>
      <c r="H72" s="0" t="n">
        <v>2055.59</v>
      </c>
      <c r="I72" s="0" t="n">
        <v>2056</v>
      </c>
      <c r="J72" s="2" t="n">
        <v>46065</v>
      </c>
      <c r="K72" s="3" t="s">
        <v>453</v>
      </c>
      <c r="L72" s="2" t="n">
        <v>46065</v>
      </c>
      <c r="M72" s="3" t="s">
        <v>454</v>
      </c>
      <c r="N72" s="2" t="n">
        <v>46066</v>
      </c>
      <c r="O72" s="3" t="s">
        <v>455</v>
      </c>
      <c r="P72" s="3" t="s">
        <v>456</v>
      </c>
      <c r="Q72" s="2" t="n">
        <v>46068</v>
      </c>
      <c r="R72" s="3" t="s">
        <v>457</v>
      </c>
      <c r="S72" s="3" t="s">
        <v>115</v>
      </c>
      <c r="T72" s="3" t="s">
        <v>40</v>
      </c>
      <c r="U72" s="3" t="s">
        <v>40</v>
      </c>
      <c r="V72" s="3" t="s">
        <v>40</v>
      </c>
      <c r="X72" s="0" t="n">
        <v>1.5</v>
      </c>
      <c r="Y72" s="0" t="n">
        <v>0.7147</v>
      </c>
      <c r="Z72" s="0" t="n">
        <v>-1</v>
      </c>
      <c r="AA72" s="0" t="n">
        <v>3</v>
      </c>
      <c r="AB72" s="4" t="n">
        <f aca="false">I72*AA72*Z72</f>
        <v>-6168</v>
      </c>
      <c r="AC72" s="4" t="n">
        <f aca="false">AB72*1.18</f>
        <v>-7278.24</v>
      </c>
      <c r="AD72" s="0" t="n">
        <v>0</v>
      </c>
    </row>
    <row r="73" customFormat="false" ht="15" hidden="false" customHeight="false" outlineLevel="0" collapsed="false">
      <c r="A73" s="0" t="s">
        <v>62</v>
      </c>
      <c r="B73" s="2" t="n">
        <v>46068</v>
      </c>
      <c r="C73" s="3" t="s">
        <v>458</v>
      </c>
      <c r="D73" s="3" t="s">
        <v>31</v>
      </c>
      <c r="E73" s="3" t="s">
        <v>32</v>
      </c>
      <c r="F73" s="3" t="s">
        <v>33</v>
      </c>
      <c r="G73" s="0" t="n">
        <v>143</v>
      </c>
      <c r="H73" s="0" t="n">
        <v>1108.59</v>
      </c>
      <c r="I73" s="0" t="n">
        <v>1663.23</v>
      </c>
      <c r="J73" s="2" t="n">
        <v>46065</v>
      </c>
      <c r="K73" s="3" t="s">
        <v>459</v>
      </c>
      <c r="L73" s="2" t="n">
        <v>46065</v>
      </c>
      <c r="M73" s="3" t="s">
        <v>460</v>
      </c>
      <c r="N73" s="2" t="n">
        <v>46065</v>
      </c>
      <c r="O73" s="3" t="s">
        <v>461</v>
      </c>
      <c r="P73" s="3" t="s">
        <v>462</v>
      </c>
      <c r="Q73" s="2" t="n">
        <v>46068</v>
      </c>
      <c r="R73" s="3" t="s">
        <v>463</v>
      </c>
      <c r="S73" s="3" t="s">
        <v>155</v>
      </c>
      <c r="T73" s="3" t="s">
        <v>40</v>
      </c>
      <c r="U73" s="3" t="s">
        <v>40</v>
      </c>
      <c r="V73" s="3" t="s">
        <v>40</v>
      </c>
      <c r="X73" s="0" t="n">
        <v>1.5</v>
      </c>
      <c r="Y73" s="0" t="n">
        <v>5.2071</v>
      </c>
      <c r="Z73" s="0" t="n">
        <v>4</v>
      </c>
      <c r="AA73" s="0" t="n">
        <v>3</v>
      </c>
      <c r="AB73" s="4" t="n">
        <f aca="false">I73*AA73*Z73</f>
        <v>19958.76</v>
      </c>
      <c r="AC73" s="4" t="n">
        <f aca="false">AB73*1.18</f>
        <v>23551.3368</v>
      </c>
      <c r="AD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464</v>
      </c>
    </row>
    <row r="2" customFormat="false" ht="15" hidden="false" customHeight="false" outlineLevel="0" collapsed="false">
      <c r="H2" s="0" t="s">
        <v>465</v>
      </c>
    </row>
    <row r="3" customFormat="false" ht="23.85" hidden="false" customHeight="false" outlineLevel="0" collapsed="false">
      <c r="A3" s="1" t="s">
        <v>466</v>
      </c>
      <c r="B3" s="1" t="s">
        <v>467</v>
      </c>
      <c r="C3" s="1" t="s">
        <v>468</v>
      </c>
      <c r="D3" s="1" t="s">
        <v>469</v>
      </c>
      <c r="E3" s="1" t="s">
        <v>470</v>
      </c>
      <c r="F3" s="1" t="s">
        <v>471</v>
      </c>
      <c r="G3" s="1" t="s">
        <v>472</v>
      </c>
      <c r="H3" s="1" t="s">
        <v>473</v>
      </c>
    </row>
    <row r="4" customFormat="false" ht="15" hidden="false" customHeight="false" outlineLevel="0" collapsed="false">
      <c r="A4" s="0" t="n">
        <v>1</v>
      </c>
      <c r="B4" s="6" t="n">
        <v>46054</v>
      </c>
      <c r="C4" s="3" t="s">
        <v>29</v>
      </c>
      <c r="D4" s="3" t="s">
        <v>474</v>
      </c>
      <c r="E4" s="0" t="n">
        <v>293</v>
      </c>
      <c r="F4" s="0" t="n">
        <v>4168.4</v>
      </c>
      <c r="G4" s="0" t="n">
        <v>5030.3</v>
      </c>
      <c r="H4" s="4" t="n">
        <f aca="false">G4*2*1.18</f>
        <v>11871.508</v>
      </c>
    </row>
    <row r="5" customFormat="false" ht="15" hidden="false" customHeight="false" outlineLevel="0" collapsed="false">
      <c r="A5" s="0" t="n">
        <v>2</v>
      </c>
      <c r="B5" s="6" t="n">
        <v>46054</v>
      </c>
      <c r="C5" s="3" t="s">
        <v>29</v>
      </c>
      <c r="D5" s="3" t="s">
        <v>475</v>
      </c>
      <c r="E5" s="0" t="n">
        <v>293</v>
      </c>
      <c r="F5" s="0" t="n">
        <v>4168.4</v>
      </c>
      <c r="G5" s="0" t="n">
        <v>5030.3</v>
      </c>
      <c r="H5" s="4" t="n">
        <f aca="false">G5*3*1.18</f>
        <v>17807.262</v>
      </c>
    </row>
    <row r="6" customFormat="false" ht="15" hidden="false" customHeight="false" outlineLevel="0" collapsed="false">
      <c r="A6" s="0" t="n">
        <v>3</v>
      </c>
      <c r="B6" s="6" t="n">
        <v>46054</v>
      </c>
      <c r="C6" s="3" t="s">
        <v>29</v>
      </c>
      <c r="D6" s="3" t="s">
        <v>476</v>
      </c>
      <c r="E6" s="0" t="n">
        <v>293</v>
      </c>
      <c r="F6" s="0" t="n">
        <v>4168.4</v>
      </c>
      <c r="G6" s="0" t="n">
        <v>5030.3</v>
      </c>
      <c r="H6" s="4" t="n">
        <f aca="false">G6*3*1.18</f>
        <v>17807.262</v>
      </c>
    </row>
    <row r="7" customFormat="false" ht="15" hidden="false" customHeight="false" outlineLevel="0" collapsed="false">
      <c r="A7" s="0" t="n">
        <v>4</v>
      </c>
      <c r="B7" s="6" t="n">
        <v>46055</v>
      </c>
      <c r="C7" s="3" t="s">
        <v>29</v>
      </c>
      <c r="D7" s="3" t="s">
        <v>474</v>
      </c>
      <c r="E7" s="0" t="n">
        <v>415</v>
      </c>
      <c r="F7" s="0" t="n">
        <v>2519.9</v>
      </c>
      <c r="G7" s="0" t="n">
        <v>3641.7</v>
      </c>
      <c r="H7" s="4" t="n">
        <f aca="false">G7*2*1.18</f>
        <v>8594.412</v>
      </c>
    </row>
    <row r="8" customFormat="false" ht="15" hidden="false" customHeight="false" outlineLevel="0" collapsed="false">
      <c r="A8" s="0" t="n">
        <v>5</v>
      </c>
      <c r="B8" s="6" t="n">
        <v>46055</v>
      </c>
      <c r="C8" s="3" t="s">
        <v>29</v>
      </c>
      <c r="D8" s="3" t="s">
        <v>475</v>
      </c>
      <c r="E8" s="0" t="n">
        <v>415</v>
      </c>
      <c r="F8" s="0" t="n">
        <v>2519.9</v>
      </c>
      <c r="G8" s="0" t="n">
        <v>3641.7</v>
      </c>
      <c r="H8" s="4" t="n">
        <f aca="false">G8*3*1.18</f>
        <v>12891.618</v>
      </c>
    </row>
    <row r="9" customFormat="false" ht="15" hidden="false" customHeight="false" outlineLevel="0" collapsed="false">
      <c r="A9" s="0" t="n">
        <v>6</v>
      </c>
      <c r="B9" s="6" t="n">
        <v>46055</v>
      </c>
      <c r="C9" s="3" t="s">
        <v>29</v>
      </c>
      <c r="D9" s="3" t="s">
        <v>476</v>
      </c>
      <c r="E9" s="0" t="n">
        <v>415</v>
      </c>
      <c r="F9" s="0" t="n">
        <v>2519.9</v>
      </c>
      <c r="G9" s="0" t="n">
        <v>3641.7</v>
      </c>
      <c r="H9" s="4" t="n">
        <f aca="false">G9*3*1.18</f>
        <v>12891.618</v>
      </c>
    </row>
    <row r="10" customFormat="false" ht="15" hidden="false" customHeight="false" outlineLevel="0" collapsed="false">
      <c r="A10" s="0" t="n">
        <v>7</v>
      </c>
      <c r="B10" s="6" t="n">
        <v>46055</v>
      </c>
      <c r="C10" s="3" t="s">
        <v>62</v>
      </c>
      <c r="D10" s="3" t="s">
        <v>474</v>
      </c>
      <c r="E10" s="0" t="n">
        <v>425</v>
      </c>
      <c r="F10" s="0" t="n">
        <v>7838.4</v>
      </c>
      <c r="G10" s="0" t="n">
        <v>7839.8</v>
      </c>
      <c r="H10" s="4" t="n">
        <f aca="false">G10*2*1.18</f>
        <v>18501.928</v>
      </c>
    </row>
    <row r="11" customFormat="false" ht="15" hidden="false" customHeight="false" outlineLevel="0" collapsed="false">
      <c r="A11" s="0" t="n">
        <v>8</v>
      </c>
      <c r="B11" s="6" t="n">
        <v>46055</v>
      </c>
      <c r="C11" s="3" t="s">
        <v>62</v>
      </c>
      <c r="D11" s="3" t="s">
        <v>475</v>
      </c>
      <c r="E11" s="0" t="n">
        <v>425</v>
      </c>
      <c r="F11" s="0" t="n">
        <v>7838.4</v>
      </c>
      <c r="G11" s="0" t="n">
        <v>7839.8</v>
      </c>
      <c r="H11" s="4" t="n">
        <f aca="false">G11*3*1.18</f>
        <v>27752.892</v>
      </c>
    </row>
    <row r="12" customFormat="false" ht="15" hidden="false" customHeight="false" outlineLevel="0" collapsed="false">
      <c r="A12" s="0" t="n">
        <v>9</v>
      </c>
      <c r="B12" s="6" t="n">
        <v>46055</v>
      </c>
      <c r="C12" s="3" t="s">
        <v>62</v>
      </c>
      <c r="D12" s="3" t="s">
        <v>476</v>
      </c>
      <c r="E12" s="0" t="n">
        <v>425</v>
      </c>
      <c r="F12" s="0" t="n">
        <v>7838.4</v>
      </c>
      <c r="G12" s="0" t="n">
        <v>7839.8</v>
      </c>
      <c r="H12" s="4" t="n">
        <f aca="false">G12*3*1.18</f>
        <v>27752.892</v>
      </c>
    </row>
    <row r="13" customFormat="false" ht="15" hidden="false" customHeight="false" outlineLevel="0" collapsed="false">
      <c r="A13" s="0" t="n">
        <v>10</v>
      </c>
      <c r="B13" s="6" t="n">
        <v>46056</v>
      </c>
      <c r="C13" s="3" t="s">
        <v>29</v>
      </c>
      <c r="D13" s="3" t="s">
        <v>474</v>
      </c>
      <c r="E13" s="0" t="n">
        <v>191</v>
      </c>
      <c r="F13" s="0" t="n">
        <v>4632.7</v>
      </c>
      <c r="G13" s="0" t="n">
        <v>5363.5</v>
      </c>
      <c r="H13" s="4" t="n">
        <f aca="false">G13*2*1.18</f>
        <v>12657.86</v>
      </c>
    </row>
    <row r="14" customFormat="false" ht="15" hidden="false" customHeight="false" outlineLevel="0" collapsed="false">
      <c r="A14" s="0" t="n">
        <v>11</v>
      </c>
      <c r="B14" s="6" t="n">
        <v>46056</v>
      </c>
      <c r="C14" s="3" t="s">
        <v>29</v>
      </c>
      <c r="D14" s="3" t="s">
        <v>475</v>
      </c>
      <c r="E14" s="0" t="n">
        <v>191</v>
      </c>
      <c r="F14" s="0" t="n">
        <v>4632.7</v>
      </c>
      <c r="G14" s="0" t="n">
        <v>5363.5</v>
      </c>
      <c r="H14" s="4" t="n">
        <f aca="false">G14*3*1.18</f>
        <v>18986.79</v>
      </c>
    </row>
    <row r="15" customFormat="false" ht="15" hidden="false" customHeight="false" outlineLevel="0" collapsed="false">
      <c r="A15" s="0" t="n">
        <v>12</v>
      </c>
      <c r="B15" s="6" t="n">
        <v>46056</v>
      </c>
      <c r="C15" s="3" t="s">
        <v>29</v>
      </c>
      <c r="D15" s="3" t="s">
        <v>476</v>
      </c>
      <c r="E15" s="0" t="n">
        <v>191</v>
      </c>
      <c r="F15" s="0" t="n">
        <v>4632.7</v>
      </c>
      <c r="G15" s="0" t="n">
        <v>5363.5</v>
      </c>
      <c r="H15" s="4" t="n">
        <f aca="false">G15*3*1.18</f>
        <v>18986.79</v>
      </c>
    </row>
    <row r="16" customFormat="false" ht="15" hidden="false" customHeight="false" outlineLevel="0" collapsed="false">
      <c r="A16" s="0" t="n">
        <v>13</v>
      </c>
      <c r="B16" s="6" t="n">
        <v>46056</v>
      </c>
      <c r="C16" s="3" t="s">
        <v>62</v>
      </c>
      <c r="D16" s="3" t="s">
        <v>474</v>
      </c>
      <c r="E16" s="0" t="n">
        <v>590</v>
      </c>
      <c r="F16" s="0" t="n">
        <v>9031</v>
      </c>
      <c r="G16" s="0" t="n">
        <v>10613.5</v>
      </c>
      <c r="H16" s="4" t="n">
        <f aca="false">G16*2*1.18</f>
        <v>25047.86</v>
      </c>
    </row>
    <row r="17" customFormat="false" ht="15" hidden="false" customHeight="false" outlineLevel="0" collapsed="false">
      <c r="A17" s="0" t="n">
        <v>14</v>
      </c>
      <c r="B17" s="6" t="n">
        <v>46056</v>
      </c>
      <c r="C17" s="3" t="s">
        <v>62</v>
      </c>
      <c r="D17" s="3" t="s">
        <v>475</v>
      </c>
      <c r="E17" s="0" t="n">
        <v>590</v>
      </c>
      <c r="F17" s="0" t="n">
        <v>9031</v>
      </c>
      <c r="G17" s="0" t="n">
        <v>10613.5</v>
      </c>
      <c r="H17" s="4" t="n">
        <f aca="false">G17*3*1.18</f>
        <v>37571.79</v>
      </c>
    </row>
    <row r="18" customFormat="false" ht="15" hidden="false" customHeight="false" outlineLevel="0" collapsed="false">
      <c r="A18" s="0" t="n">
        <v>15</v>
      </c>
      <c r="B18" s="6" t="n">
        <v>46056</v>
      </c>
      <c r="C18" s="3" t="s">
        <v>62</v>
      </c>
      <c r="D18" s="3" t="s">
        <v>476</v>
      </c>
      <c r="E18" s="0" t="n">
        <v>590</v>
      </c>
      <c r="F18" s="0" t="n">
        <v>9031</v>
      </c>
      <c r="G18" s="0" t="n">
        <v>10613.5</v>
      </c>
      <c r="H18" s="4" t="n">
        <f aca="false">G18*3*1.18</f>
        <v>37571.79</v>
      </c>
    </row>
    <row r="19" customFormat="false" ht="15" hidden="false" customHeight="false" outlineLevel="0" collapsed="false">
      <c r="A19" s="0" t="n">
        <v>16</v>
      </c>
      <c r="B19" s="6" t="n">
        <v>46057</v>
      </c>
      <c r="C19" s="3" t="s">
        <v>62</v>
      </c>
      <c r="D19" s="3" t="s">
        <v>474</v>
      </c>
      <c r="E19" s="0" t="n">
        <v>40</v>
      </c>
      <c r="F19" s="0" t="n">
        <v>3486.3</v>
      </c>
      <c r="G19" s="0" t="n">
        <v>3486.8</v>
      </c>
      <c r="H19" s="4" t="n">
        <f aca="false">G19*2*1.18</f>
        <v>8228.848</v>
      </c>
    </row>
    <row r="20" customFormat="false" ht="15" hidden="false" customHeight="false" outlineLevel="0" collapsed="false">
      <c r="A20" s="0" t="n">
        <v>17</v>
      </c>
      <c r="B20" s="6" t="n">
        <v>46057</v>
      </c>
      <c r="C20" s="3" t="s">
        <v>62</v>
      </c>
      <c r="D20" s="3" t="s">
        <v>475</v>
      </c>
      <c r="E20" s="0" t="n">
        <v>40</v>
      </c>
      <c r="F20" s="0" t="n">
        <v>3486.3</v>
      </c>
      <c r="G20" s="0" t="n">
        <v>3486.8</v>
      </c>
      <c r="H20" s="4" t="n">
        <f aca="false">G20*3*1.18</f>
        <v>12343.272</v>
      </c>
    </row>
    <row r="21" customFormat="false" ht="15" hidden="false" customHeight="false" outlineLevel="0" collapsed="false">
      <c r="A21" s="0" t="n">
        <v>18</v>
      </c>
      <c r="B21" s="6" t="n">
        <v>46057</v>
      </c>
      <c r="C21" s="3" t="s">
        <v>62</v>
      </c>
      <c r="D21" s="3" t="s">
        <v>476</v>
      </c>
      <c r="E21" s="0" t="n">
        <v>40</v>
      </c>
      <c r="F21" s="0" t="n">
        <v>3486.3</v>
      </c>
      <c r="G21" s="0" t="n">
        <v>3486.8</v>
      </c>
      <c r="H21" s="4" t="n">
        <f aca="false">G21*3*1.18</f>
        <v>12343.272</v>
      </c>
    </row>
    <row r="22" customFormat="false" ht="15" hidden="false" customHeight="false" outlineLevel="0" collapsed="false">
      <c r="A22" s="0" t="n">
        <v>19</v>
      </c>
      <c r="B22" s="6" t="n">
        <v>46058</v>
      </c>
      <c r="C22" s="3" t="s">
        <v>29</v>
      </c>
      <c r="D22" s="3" t="s">
        <v>474</v>
      </c>
      <c r="E22" s="0" t="n">
        <v>114</v>
      </c>
      <c r="F22" s="0" t="n">
        <v>356.8</v>
      </c>
      <c r="G22" s="0" t="n">
        <v>392.6</v>
      </c>
      <c r="H22" s="4" t="n">
        <f aca="false">G22*2*1.18</f>
        <v>926.536</v>
      </c>
    </row>
    <row r="23" customFormat="false" ht="15" hidden="false" customHeight="false" outlineLevel="0" collapsed="false">
      <c r="A23" s="0" t="n">
        <v>20</v>
      </c>
      <c r="B23" s="6" t="n">
        <v>46058</v>
      </c>
      <c r="C23" s="3" t="s">
        <v>29</v>
      </c>
      <c r="D23" s="3" t="s">
        <v>475</v>
      </c>
      <c r="E23" s="0" t="n">
        <v>114</v>
      </c>
      <c r="F23" s="0" t="n">
        <v>356.8</v>
      </c>
      <c r="G23" s="0" t="n">
        <v>392.6</v>
      </c>
      <c r="H23" s="4" t="n">
        <f aca="false">G23*3*1.18</f>
        <v>1389.804</v>
      </c>
    </row>
    <row r="24" customFormat="false" ht="15" hidden="false" customHeight="false" outlineLevel="0" collapsed="false">
      <c r="A24" s="0" t="n">
        <v>21</v>
      </c>
      <c r="B24" s="6" t="n">
        <v>46058</v>
      </c>
      <c r="C24" s="3" t="s">
        <v>29</v>
      </c>
      <c r="D24" s="3" t="s">
        <v>476</v>
      </c>
      <c r="E24" s="0" t="n">
        <v>114</v>
      </c>
      <c r="F24" s="0" t="n">
        <v>356.8</v>
      </c>
      <c r="G24" s="0" t="n">
        <v>392.6</v>
      </c>
      <c r="H24" s="4" t="n">
        <f aca="false">G24*3*1.18</f>
        <v>1389.804</v>
      </c>
    </row>
    <row r="25" customFormat="false" ht="15" hidden="false" customHeight="false" outlineLevel="0" collapsed="false">
      <c r="A25" s="0" t="n">
        <v>22</v>
      </c>
      <c r="B25" s="6" t="n">
        <v>46058</v>
      </c>
      <c r="C25" s="3" t="s">
        <v>62</v>
      </c>
      <c r="D25" s="3" t="s">
        <v>474</v>
      </c>
      <c r="E25" s="0" t="n">
        <v>350</v>
      </c>
      <c r="F25" s="0" t="n">
        <v>1866.8</v>
      </c>
      <c r="G25" s="0" t="n">
        <v>2720.7</v>
      </c>
      <c r="H25" s="4" t="n">
        <f aca="false">G25*2*1.18</f>
        <v>6420.852</v>
      </c>
    </row>
    <row r="26" customFormat="false" ht="15" hidden="false" customHeight="false" outlineLevel="0" collapsed="false">
      <c r="A26" s="0" t="n">
        <v>23</v>
      </c>
      <c r="B26" s="6" t="n">
        <v>46058</v>
      </c>
      <c r="C26" s="3" t="s">
        <v>62</v>
      </c>
      <c r="D26" s="3" t="s">
        <v>475</v>
      </c>
      <c r="E26" s="0" t="n">
        <v>350</v>
      </c>
      <c r="F26" s="0" t="n">
        <v>1866.8</v>
      </c>
      <c r="G26" s="0" t="n">
        <v>2720.7</v>
      </c>
      <c r="H26" s="4" t="n">
        <f aca="false">G26*3*1.18</f>
        <v>9631.278</v>
      </c>
    </row>
    <row r="27" customFormat="false" ht="15" hidden="false" customHeight="false" outlineLevel="0" collapsed="false">
      <c r="A27" s="0" t="n">
        <v>24</v>
      </c>
      <c r="B27" s="6" t="n">
        <v>46058</v>
      </c>
      <c r="C27" s="3" t="s">
        <v>62</v>
      </c>
      <c r="D27" s="3" t="s">
        <v>476</v>
      </c>
      <c r="E27" s="0" t="n">
        <v>350</v>
      </c>
      <c r="F27" s="0" t="n">
        <v>1866.8</v>
      </c>
      <c r="G27" s="0" t="n">
        <v>2720.7</v>
      </c>
      <c r="H27" s="4" t="n">
        <f aca="false">G27*3*1.18</f>
        <v>9631.278</v>
      </c>
    </row>
    <row r="28" customFormat="false" ht="15" hidden="false" customHeight="false" outlineLevel="0" collapsed="false">
      <c r="A28" s="0" t="n">
        <v>25</v>
      </c>
      <c r="B28" s="6" t="n">
        <v>46059</v>
      </c>
      <c r="C28" s="3" t="s">
        <v>62</v>
      </c>
      <c r="D28" s="3" t="s">
        <v>474</v>
      </c>
      <c r="E28" s="0" t="n">
        <v>197</v>
      </c>
      <c r="F28" s="0" t="n">
        <v>917.7</v>
      </c>
      <c r="G28" s="0" t="n">
        <v>918.1</v>
      </c>
      <c r="H28" s="4" t="n">
        <f aca="false">G28*2*1.18</f>
        <v>2166.716</v>
      </c>
    </row>
    <row r="29" customFormat="false" ht="15" hidden="false" customHeight="false" outlineLevel="0" collapsed="false">
      <c r="A29" s="0" t="n">
        <v>26</v>
      </c>
      <c r="B29" s="6" t="n">
        <v>46059</v>
      </c>
      <c r="C29" s="3" t="s">
        <v>62</v>
      </c>
      <c r="D29" s="3" t="s">
        <v>475</v>
      </c>
      <c r="E29" s="0" t="n">
        <v>197</v>
      </c>
      <c r="F29" s="0" t="n">
        <v>917.7</v>
      </c>
      <c r="G29" s="0" t="n">
        <v>918.1</v>
      </c>
      <c r="H29" s="4" t="n">
        <f aca="false">G29*3*1.18</f>
        <v>3250.074</v>
      </c>
    </row>
    <row r="30" customFormat="false" ht="15" hidden="false" customHeight="false" outlineLevel="0" collapsed="false">
      <c r="A30" s="0" t="n">
        <v>27</v>
      </c>
      <c r="B30" s="6" t="n">
        <v>46059</v>
      </c>
      <c r="C30" s="3" t="s">
        <v>62</v>
      </c>
      <c r="D30" s="3" t="s">
        <v>476</v>
      </c>
      <c r="E30" s="0" t="n">
        <v>197</v>
      </c>
      <c r="F30" s="0" t="n">
        <v>917.7</v>
      </c>
      <c r="G30" s="0" t="n">
        <v>918.1</v>
      </c>
      <c r="H30" s="4" t="n">
        <f aca="false">G30*3*1.18</f>
        <v>3250.074</v>
      </c>
    </row>
    <row r="31" customFormat="false" ht="15" hidden="false" customHeight="false" outlineLevel="0" collapsed="false">
      <c r="A31" s="0" t="n">
        <v>28</v>
      </c>
      <c r="B31" s="6" t="n">
        <v>46060</v>
      </c>
      <c r="C31" s="3" t="s">
        <v>29</v>
      </c>
      <c r="D31" s="3" t="s">
        <v>474</v>
      </c>
      <c r="E31" s="0" t="n">
        <v>477</v>
      </c>
      <c r="F31" s="0" t="n">
        <v>4399.9</v>
      </c>
      <c r="G31" s="0" t="n">
        <v>5734</v>
      </c>
      <c r="H31" s="4" t="n">
        <f aca="false">G31*2*1.18</f>
        <v>13532.24</v>
      </c>
    </row>
    <row r="32" customFormat="false" ht="15" hidden="false" customHeight="false" outlineLevel="0" collapsed="false">
      <c r="A32" s="0" t="n">
        <v>29</v>
      </c>
      <c r="B32" s="6" t="n">
        <v>46060</v>
      </c>
      <c r="C32" s="3" t="s">
        <v>29</v>
      </c>
      <c r="D32" s="3" t="s">
        <v>475</v>
      </c>
      <c r="E32" s="0" t="n">
        <v>477</v>
      </c>
      <c r="F32" s="0" t="n">
        <v>4399.9</v>
      </c>
      <c r="G32" s="0" t="n">
        <v>5734</v>
      </c>
      <c r="H32" s="4" t="n">
        <f aca="false">G32*3*1.18</f>
        <v>20298.36</v>
      </c>
    </row>
    <row r="33" customFormat="false" ht="15" hidden="false" customHeight="false" outlineLevel="0" collapsed="false">
      <c r="A33" s="0" t="n">
        <v>30</v>
      </c>
      <c r="B33" s="6" t="n">
        <v>46060</v>
      </c>
      <c r="C33" s="3" t="s">
        <v>29</v>
      </c>
      <c r="D33" s="3" t="s">
        <v>476</v>
      </c>
      <c r="E33" s="0" t="n">
        <v>477</v>
      </c>
      <c r="F33" s="0" t="n">
        <v>4399.9</v>
      </c>
      <c r="G33" s="0" t="n">
        <v>5734</v>
      </c>
      <c r="H33" s="4" t="n">
        <f aca="false">G33*3*1.18</f>
        <v>20298.36</v>
      </c>
    </row>
    <row r="34" customFormat="false" ht="15" hidden="false" customHeight="false" outlineLevel="0" collapsed="false">
      <c r="A34" s="0" t="n">
        <v>31</v>
      </c>
      <c r="B34" s="6" t="n">
        <v>46060</v>
      </c>
      <c r="C34" s="3" t="s">
        <v>62</v>
      </c>
      <c r="D34" s="3" t="s">
        <v>474</v>
      </c>
      <c r="E34" s="0" t="n">
        <v>730</v>
      </c>
      <c r="F34" s="0" t="n">
        <v>11396.1</v>
      </c>
      <c r="G34" s="0" t="n">
        <v>13275.4</v>
      </c>
      <c r="H34" s="4" t="n">
        <f aca="false">G34*2*1.18</f>
        <v>31329.944</v>
      </c>
    </row>
    <row r="35" customFormat="false" ht="15" hidden="false" customHeight="false" outlineLevel="0" collapsed="false">
      <c r="A35" s="0" t="n">
        <v>32</v>
      </c>
      <c r="B35" s="6" t="n">
        <v>46060</v>
      </c>
      <c r="C35" s="3" t="s">
        <v>62</v>
      </c>
      <c r="D35" s="3" t="s">
        <v>475</v>
      </c>
      <c r="E35" s="0" t="n">
        <v>730</v>
      </c>
      <c r="F35" s="0" t="n">
        <v>11396.1</v>
      </c>
      <c r="G35" s="0" t="n">
        <v>13275.4</v>
      </c>
      <c r="H35" s="4" t="n">
        <f aca="false">G35*3*1.18</f>
        <v>46994.916</v>
      </c>
    </row>
    <row r="36" customFormat="false" ht="15" hidden="false" customHeight="false" outlineLevel="0" collapsed="false">
      <c r="A36" s="0" t="n">
        <v>33</v>
      </c>
      <c r="B36" s="6" t="n">
        <v>46060</v>
      </c>
      <c r="C36" s="3" t="s">
        <v>62</v>
      </c>
      <c r="D36" s="3" t="s">
        <v>476</v>
      </c>
      <c r="E36" s="0" t="n">
        <v>730</v>
      </c>
      <c r="F36" s="0" t="n">
        <v>11396.1</v>
      </c>
      <c r="G36" s="0" t="n">
        <v>13275.4</v>
      </c>
      <c r="H36" s="4" t="n">
        <f aca="false">G36*3*1.18</f>
        <v>46994.916</v>
      </c>
    </row>
    <row r="37" customFormat="false" ht="15" hidden="false" customHeight="false" outlineLevel="0" collapsed="false">
      <c r="A37" s="0" t="n">
        <v>34</v>
      </c>
      <c r="B37" s="6" t="n">
        <v>46061</v>
      </c>
      <c r="C37" s="3" t="s">
        <v>29</v>
      </c>
      <c r="D37" s="3" t="s">
        <v>474</v>
      </c>
      <c r="E37" s="0" t="n">
        <v>234</v>
      </c>
      <c r="F37" s="0" t="n">
        <v>4411.1</v>
      </c>
      <c r="G37" s="0" t="n">
        <v>5498.9</v>
      </c>
      <c r="H37" s="4" t="n">
        <f aca="false">G37*2*1.18</f>
        <v>12977.404</v>
      </c>
    </row>
    <row r="38" customFormat="false" ht="15" hidden="false" customHeight="false" outlineLevel="0" collapsed="false">
      <c r="A38" s="0" t="n">
        <v>35</v>
      </c>
      <c r="B38" s="6" t="n">
        <v>46061</v>
      </c>
      <c r="C38" s="3" t="s">
        <v>29</v>
      </c>
      <c r="D38" s="3" t="s">
        <v>475</v>
      </c>
      <c r="E38" s="0" t="n">
        <v>234</v>
      </c>
      <c r="F38" s="0" t="n">
        <v>4411.1</v>
      </c>
      <c r="G38" s="0" t="n">
        <v>5498.9</v>
      </c>
      <c r="H38" s="4" t="n">
        <f aca="false">G38*3*1.18</f>
        <v>19466.106</v>
      </c>
    </row>
    <row r="39" customFormat="false" ht="15" hidden="false" customHeight="false" outlineLevel="0" collapsed="false">
      <c r="A39" s="0" t="n">
        <v>36</v>
      </c>
      <c r="B39" s="6" t="n">
        <v>46061</v>
      </c>
      <c r="C39" s="3" t="s">
        <v>29</v>
      </c>
      <c r="D39" s="3" t="s">
        <v>476</v>
      </c>
      <c r="E39" s="0" t="n">
        <v>234</v>
      </c>
      <c r="F39" s="0" t="n">
        <v>4411.1</v>
      </c>
      <c r="G39" s="0" t="n">
        <v>5498.9</v>
      </c>
      <c r="H39" s="4" t="n">
        <f aca="false">G39*3*1.18</f>
        <v>19466.106</v>
      </c>
    </row>
    <row r="40" customFormat="false" ht="15" hidden="false" customHeight="false" outlineLevel="0" collapsed="false">
      <c r="A40" s="0" t="n">
        <v>37</v>
      </c>
      <c r="B40" s="6" t="n">
        <v>46061</v>
      </c>
      <c r="C40" s="3" t="s">
        <v>62</v>
      </c>
      <c r="D40" s="3" t="s">
        <v>474</v>
      </c>
      <c r="E40" s="0" t="n">
        <v>151</v>
      </c>
      <c r="F40" s="0" t="n">
        <v>3806.3</v>
      </c>
      <c r="G40" s="0" t="n">
        <v>3979.1</v>
      </c>
      <c r="H40" s="4" t="n">
        <f aca="false">G40*2*1.18</f>
        <v>9390.676</v>
      </c>
    </row>
    <row r="41" customFormat="false" ht="15" hidden="false" customHeight="false" outlineLevel="0" collapsed="false">
      <c r="A41" s="0" t="n">
        <v>38</v>
      </c>
      <c r="B41" s="6" t="n">
        <v>46061</v>
      </c>
      <c r="C41" s="3" t="s">
        <v>62</v>
      </c>
      <c r="D41" s="3" t="s">
        <v>475</v>
      </c>
      <c r="E41" s="0" t="n">
        <v>151</v>
      </c>
      <c r="F41" s="0" t="n">
        <v>3806.3</v>
      </c>
      <c r="G41" s="0" t="n">
        <v>3979.1</v>
      </c>
      <c r="H41" s="4" t="n">
        <f aca="false">G41*3*1.18</f>
        <v>14086.014</v>
      </c>
    </row>
    <row r="42" customFormat="false" ht="15" hidden="false" customHeight="false" outlineLevel="0" collapsed="false">
      <c r="A42" s="0" t="n">
        <v>39</v>
      </c>
      <c r="B42" s="6" t="n">
        <v>46061</v>
      </c>
      <c r="C42" s="3" t="s">
        <v>62</v>
      </c>
      <c r="D42" s="3" t="s">
        <v>476</v>
      </c>
      <c r="E42" s="0" t="n">
        <v>151</v>
      </c>
      <c r="F42" s="0" t="n">
        <v>3806.3</v>
      </c>
      <c r="G42" s="0" t="n">
        <v>3979.1</v>
      </c>
      <c r="H42" s="4" t="n">
        <f aca="false">G42*3*1.18</f>
        <v>14086.014</v>
      </c>
    </row>
    <row r="43" customFormat="false" ht="15" hidden="false" customHeight="false" outlineLevel="0" collapsed="false">
      <c r="A43" s="0" t="n">
        <v>40</v>
      </c>
      <c r="B43" s="6" t="n">
        <v>46062</v>
      </c>
      <c r="C43" s="3" t="s">
        <v>29</v>
      </c>
      <c r="D43" s="3" t="s">
        <v>474</v>
      </c>
      <c r="E43" s="0" t="n">
        <v>109</v>
      </c>
      <c r="F43" s="0" t="n">
        <v>525.4</v>
      </c>
      <c r="G43" s="0" t="n">
        <v>578.2</v>
      </c>
      <c r="H43" s="4" t="n">
        <f aca="false">G43*2*1.18</f>
        <v>1364.552</v>
      </c>
    </row>
    <row r="44" customFormat="false" ht="15" hidden="false" customHeight="false" outlineLevel="0" collapsed="false">
      <c r="A44" s="0" t="n">
        <v>41</v>
      </c>
      <c r="B44" s="6" t="n">
        <v>46062</v>
      </c>
      <c r="C44" s="3" t="s">
        <v>29</v>
      </c>
      <c r="D44" s="3" t="s">
        <v>475</v>
      </c>
      <c r="E44" s="0" t="n">
        <v>109</v>
      </c>
      <c r="F44" s="0" t="n">
        <v>525.4</v>
      </c>
      <c r="G44" s="0" t="n">
        <v>578.2</v>
      </c>
      <c r="H44" s="4" t="n">
        <f aca="false">G44*3*1.18</f>
        <v>2046.828</v>
      </c>
    </row>
    <row r="45" customFormat="false" ht="15" hidden="false" customHeight="false" outlineLevel="0" collapsed="false">
      <c r="A45" s="0" t="n">
        <v>42</v>
      </c>
      <c r="B45" s="6" t="n">
        <v>46062</v>
      </c>
      <c r="C45" s="3" t="s">
        <v>29</v>
      </c>
      <c r="D45" s="3" t="s">
        <v>476</v>
      </c>
      <c r="E45" s="0" t="n">
        <v>109</v>
      </c>
      <c r="F45" s="0" t="n">
        <v>525.4</v>
      </c>
      <c r="G45" s="0" t="n">
        <v>578.2</v>
      </c>
      <c r="H45" s="4" t="n">
        <f aca="false">G45*3*1.18</f>
        <v>2046.828</v>
      </c>
    </row>
    <row r="46" customFormat="false" ht="15" hidden="false" customHeight="false" outlineLevel="0" collapsed="false">
      <c r="D46" s="7" t="s">
        <v>477</v>
      </c>
      <c r="H46" s="8" t="n">
        <f aca="false">SUM(H4:H45)</f>
        <v>652045.344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5" t="s">
        <v>476</v>
      </c>
    </row>
    <row r="3" customFormat="false" ht="23.8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6</v>
      </c>
      <c r="E3" s="1" t="s">
        <v>8</v>
      </c>
      <c r="F3" s="1" t="s">
        <v>13</v>
      </c>
      <c r="G3" s="1" t="s">
        <v>14</v>
      </c>
      <c r="H3" s="1" t="s">
        <v>16</v>
      </c>
      <c r="I3" s="1" t="s">
        <v>17</v>
      </c>
      <c r="J3" s="1" t="s">
        <v>21</v>
      </c>
      <c r="K3" s="1" t="s">
        <v>478</v>
      </c>
      <c r="L3" s="1" t="s">
        <v>24</v>
      </c>
      <c r="M3" s="1" t="s">
        <v>479</v>
      </c>
      <c r="N3" s="1" t="s">
        <v>480</v>
      </c>
    </row>
    <row r="4" customFormat="false" ht="15" hidden="false" customHeight="false" outlineLevel="0" collapsed="false">
      <c r="A4" s="0" t="s">
        <v>29</v>
      </c>
      <c r="B4" s="6" t="n">
        <v>46054</v>
      </c>
      <c r="C4" s="3" t="s">
        <v>41</v>
      </c>
      <c r="D4" s="0" t="n">
        <v>134</v>
      </c>
      <c r="E4" s="0" t="n">
        <v>2140.71</v>
      </c>
      <c r="F4" s="6" t="n">
        <v>46052</v>
      </c>
      <c r="G4" s="3" t="s">
        <v>44</v>
      </c>
      <c r="H4" s="6" t="n">
        <v>46054</v>
      </c>
      <c r="I4" s="3" t="s">
        <v>46</v>
      </c>
      <c r="J4" s="3" t="s">
        <v>40</v>
      </c>
      <c r="K4" s="0" t="n">
        <v>3</v>
      </c>
      <c r="L4" s="0" t="n">
        <v>4</v>
      </c>
      <c r="M4" s="4" t="n">
        <f aca="false">E4*K4*L4</f>
        <v>25688.52</v>
      </c>
      <c r="N4" s="4" t="n">
        <f aca="false">M4*1.18</f>
        <v>30312.4536</v>
      </c>
    </row>
    <row r="5" customFormat="false" ht="15" hidden="false" customHeight="false" outlineLevel="0" collapsed="false">
      <c r="A5" s="0" t="s">
        <v>29</v>
      </c>
      <c r="B5" s="6" t="n">
        <v>46055</v>
      </c>
      <c r="C5" s="3" t="s">
        <v>48</v>
      </c>
      <c r="D5" s="0" t="n">
        <v>197</v>
      </c>
      <c r="E5" s="0" t="n">
        <v>276.66</v>
      </c>
      <c r="F5" s="6" t="n">
        <v>46052</v>
      </c>
      <c r="G5" s="3" t="s">
        <v>51</v>
      </c>
      <c r="H5" s="6" t="n">
        <v>46055</v>
      </c>
      <c r="I5" s="3" t="s">
        <v>53</v>
      </c>
      <c r="J5" s="3" t="s">
        <v>40</v>
      </c>
      <c r="K5" s="0" t="n">
        <v>3</v>
      </c>
      <c r="L5" s="0" t="n">
        <v>3</v>
      </c>
      <c r="M5" s="4" t="n">
        <f aca="false">E5*K5*L5</f>
        <v>2489.94</v>
      </c>
      <c r="N5" s="4" t="n">
        <f aca="false">M5*1.18</f>
        <v>2938.1292</v>
      </c>
    </row>
    <row r="6" customFormat="false" ht="15" hidden="false" customHeight="false" outlineLevel="0" collapsed="false">
      <c r="A6" s="0" t="s">
        <v>29</v>
      </c>
      <c r="B6" s="6" t="n">
        <v>46055</v>
      </c>
      <c r="C6" s="3" t="s">
        <v>55</v>
      </c>
      <c r="D6" s="0" t="n">
        <v>218</v>
      </c>
      <c r="E6" s="0" t="n">
        <v>3365.02</v>
      </c>
      <c r="F6" s="6" t="n">
        <v>46055</v>
      </c>
      <c r="G6" s="3" t="s">
        <v>58</v>
      </c>
      <c r="H6" s="6" t="n">
        <v>46055</v>
      </c>
      <c r="I6" s="3" t="s">
        <v>60</v>
      </c>
      <c r="J6" s="3" t="s">
        <v>40</v>
      </c>
      <c r="K6" s="0" t="n">
        <v>3</v>
      </c>
      <c r="L6" s="0" t="n">
        <v>1</v>
      </c>
      <c r="M6" s="4" t="n">
        <f aca="false">E6*K6*L6</f>
        <v>10095.06</v>
      </c>
      <c r="N6" s="4" t="n">
        <f aca="false">M6*1.18</f>
        <v>11912.1708</v>
      </c>
    </row>
    <row r="7" customFormat="false" ht="15" hidden="false" customHeight="false" outlineLevel="0" collapsed="false">
      <c r="A7" s="0" t="s">
        <v>62</v>
      </c>
      <c r="B7" s="6" t="n">
        <v>46055</v>
      </c>
      <c r="C7" s="3" t="s">
        <v>63</v>
      </c>
      <c r="D7" s="0" t="n">
        <v>78</v>
      </c>
      <c r="E7" s="0" t="n">
        <v>434.03</v>
      </c>
      <c r="F7" s="6" t="n">
        <v>46054</v>
      </c>
      <c r="G7" s="3" t="s">
        <v>66</v>
      </c>
      <c r="H7" s="6" t="n">
        <v>46055</v>
      </c>
      <c r="I7" s="3" t="s">
        <v>68</v>
      </c>
      <c r="J7" s="3" t="s">
        <v>40</v>
      </c>
      <c r="K7" s="0" t="n">
        <v>3</v>
      </c>
      <c r="L7" s="0" t="n">
        <v>3</v>
      </c>
      <c r="M7" s="4" t="n">
        <f aca="false">E7*K7*L7</f>
        <v>3906.27</v>
      </c>
      <c r="N7" s="4" t="n">
        <f aca="false">M7*1.18</f>
        <v>4609.3986</v>
      </c>
    </row>
    <row r="8" customFormat="false" ht="15" hidden="false" customHeight="false" outlineLevel="0" collapsed="false">
      <c r="A8" s="0" t="s">
        <v>62</v>
      </c>
      <c r="B8" s="6" t="n">
        <v>46055</v>
      </c>
      <c r="C8" s="3" t="s">
        <v>70</v>
      </c>
      <c r="D8" s="0" t="n">
        <v>112</v>
      </c>
      <c r="E8" s="0" t="n">
        <v>2967.71</v>
      </c>
      <c r="F8" s="6" t="n">
        <v>46052</v>
      </c>
      <c r="G8" s="3" t="s">
        <v>73</v>
      </c>
      <c r="H8" s="6" t="n">
        <v>46055</v>
      </c>
      <c r="I8" s="3" t="s">
        <v>75</v>
      </c>
      <c r="J8" s="3" t="s">
        <v>40</v>
      </c>
      <c r="K8" s="0" t="n">
        <v>3</v>
      </c>
      <c r="L8" s="0" t="n">
        <v>2</v>
      </c>
      <c r="M8" s="4" t="n">
        <f aca="false">E8*K8*L8</f>
        <v>17806.26</v>
      </c>
      <c r="N8" s="4" t="n">
        <f aca="false">M8*1.18</f>
        <v>21011.3868</v>
      </c>
    </row>
    <row r="9" customFormat="false" ht="15" hidden="false" customHeight="false" outlineLevel="0" collapsed="false">
      <c r="A9" s="0" t="s">
        <v>62</v>
      </c>
      <c r="B9" s="6" t="n">
        <v>46055</v>
      </c>
      <c r="C9" s="3" t="s">
        <v>76</v>
      </c>
      <c r="D9" s="0" t="n">
        <v>169</v>
      </c>
      <c r="E9" s="0" t="n">
        <v>2090.17</v>
      </c>
      <c r="F9" s="6" t="n">
        <v>46054</v>
      </c>
      <c r="G9" s="3" t="s">
        <v>79</v>
      </c>
      <c r="H9" s="6" t="n">
        <v>46055</v>
      </c>
      <c r="I9" s="3" t="s">
        <v>81</v>
      </c>
      <c r="J9" s="3" t="s">
        <v>82</v>
      </c>
      <c r="K9" s="0" t="n">
        <v>5</v>
      </c>
      <c r="L9" s="0" t="n">
        <v>1</v>
      </c>
      <c r="M9" s="4" t="n">
        <f aca="false">E9*K9*L9</f>
        <v>10450.85</v>
      </c>
      <c r="N9" s="4" t="n">
        <f aca="false">M9*1.18</f>
        <v>12332.003</v>
      </c>
    </row>
    <row r="10" customFormat="false" ht="15" hidden="false" customHeight="false" outlineLevel="0" collapsed="false">
      <c r="A10" s="0" t="s">
        <v>29</v>
      </c>
      <c r="B10" s="6" t="n">
        <v>46056</v>
      </c>
      <c r="C10" s="3" t="s">
        <v>91</v>
      </c>
      <c r="D10" s="0" t="n">
        <v>71</v>
      </c>
      <c r="E10" s="0" t="n">
        <v>3165.39</v>
      </c>
      <c r="F10" s="6" t="n">
        <v>46055</v>
      </c>
      <c r="G10" s="3" t="s">
        <v>94</v>
      </c>
      <c r="H10" s="6" t="n">
        <v>46056</v>
      </c>
      <c r="I10" s="3" t="s">
        <v>96</v>
      </c>
      <c r="J10" s="3" t="s">
        <v>90</v>
      </c>
      <c r="K10" s="0" t="n">
        <v>3</v>
      </c>
      <c r="L10" s="0" t="n">
        <v>2</v>
      </c>
      <c r="M10" s="4" t="n">
        <f aca="false">E10*K10*L10</f>
        <v>18992.34</v>
      </c>
      <c r="N10" s="4" t="n">
        <f aca="false">M10*1.18</f>
        <v>22410.9612</v>
      </c>
    </row>
    <row r="11" customFormat="false" ht="15" hidden="false" customHeight="false" outlineLevel="0" collapsed="false">
      <c r="A11" s="0" t="s">
        <v>29</v>
      </c>
      <c r="B11" s="6" t="n">
        <v>46056</v>
      </c>
      <c r="C11" s="3" t="s">
        <v>97</v>
      </c>
      <c r="D11" s="0" t="n">
        <v>120</v>
      </c>
      <c r="E11" s="0" t="n">
        <v>2198.09</v>
      </c>
      <c r="F11" s="6" t="n">
        <v>46053</v>
      </c>
      <c r="G11" s="3" t="s">
        <v>100</v>
      </c>
      <c r="H11" s="6" t="n">
        <v>46056</v>
      </c>
      <c r="I11" s="3" t="s">
        <v>102</v>
      </c>
      <c r="J11" s="3" t="s">
        <v>40</v>
      </c>
      <c r="K11" s="0" t="n">
        <v>3</v>
      </c>
      <c r="L11" s="0" t="n">
        <v>1</v>
      </c>
      <c r="M11" s="4" t="n">
        <f aca="false">E11*K11*L11</f>
        <v>6594.27</v>
      </c>
      <c r="N11" s="4" t="n">
        <f aca="false">M11*1.18</f>
        <v>7781.2386</v>
      </c>
    </row>
    <row r="12" customFormat="false" ht="15" hidden="false" customHeight="false" outlineLevel="0" collapsed="false">
      <c r="A12" s="0" t="s">
        <v>62</v>
      </c>
      <c r="B12" s="6" t="n">
        <v>46056</v>
      </c>
      <c r="C12" s="3" t="s">
        <v>110</v>
      </c>
      <c r="D12" s="0" t="n">
        <v>61</v>
      </c>
      <c r="E12" s="0" t="n">
        <v>308.02</v>
      </c>
      <c r="F12" s="6" t="n">
        <v>46054</v>
      </c>
      <c r="G12" s="3" t="s">
        <v>112</v>
      </c>
      <c r="H12" s="6" t="n">
        <v>46056</v>
      </c>
      <c r="I12" s="3" t="s">
        <v>114</v>
      </c>
      <c r="J12" s="3" t="s">
        <v>40</v>
      </c>
      <c r="K12" s="0" t="n">
        <v>3</v>
      </c>
      <c r="L12" s="0" t="n">
        <v>1</v>
      </c>
      <c r="M12" s="4" t="n">
        <f aca="false">E12*K12*L12</f>
        <v>924.06</v>
      </c>
      <c r="N12" s="4" t="n">
        <f aca="false">M12*1.18</f>
        <v>1090.3908</v>
      </c>
    </row>
    <row r="13" customFormat="false" ht="15" hidden="false" customHeight="false" outlineLevel="0" collapsed="false">
      <c r="A13" s="0" t="s">
        <v>62</v>
      </c>
      <c r="B13" s="6" t="n">
        <v>46056</v>
      </c>
      <c r="C13" s="3" t="s">
        <v>116</v>
      </c>
      <c r="D13" s="0" t="n">
        <v>141</v>
      </c>
      <c r="E13" s="0" t="n">
        <v>666.36</v>
      </c>
      <c r="F13" s="6" t="n">
        <v>46054</v>
      </c>
      <c r="G13" s="3" t="s">
        <v>119</v>
      </c>
      <c r="H13" s="6" t="n">
        <v>46056</v>
      </c>
      <c r="I13" s="3" t="s">
        <v>121</v>
      </c>
      <c r="J13" s="3" t="s">
        <v>40</v>
      </c>
      <c r="K13" s="0" t="n">
        <v>3</v>
      </c>
      <c r="L13" s="0" t="n">
        <v>4</v>
      </c>
      <c r="M13" s="4" t="n">
        <f aca="false">E13*K13*L13</f>
        <v>7996.32</v>
      </c>
      <c r="N13" s="4" t="n">
        <f aca="false">M13*1.18</f>
        <v>9435.6576</v>
      </c>
    </row>
    <row r="14" customFormat="false" ht="15" hidden="false" customHeight="false" outlineLevel="0" collapsed="false">
      <c r="A14" s="0" t="s">
        <v>62</v>
      </c>
      <c r="B14" s="6" t="n">
        <v>46056</v>
      </c>
      <c r="C14" s="3" t="s">
        <v>123</v>
      </c>
      <c r="D14" s="0" t="n">
        <v>171</v>
      </c>
      <c r="E14" s="0" t="n">
        <v>2432.78</v>
      </c>
      <c r="F14" s="6" t="n">
        <v>46054</v>
      </c>
      <c r="G14" s="3" t="s">
        <v>126</v>
      </c>
      <c r="H14" s="6" t="n">
        <v>46056</v>
      </c>
      <c r="I14" s="3" t="s">
        <v>128</v>
      </c>
      <c r="J14" s="3" t="s">
        <v>129</v>
      </c>
      <c r="K14" s="0" t="n">
        <v>5</v>
      </c>
      <c r="L14" s="0" t="n">
        <v>4</v>
      </c>
      <c r="M14" s="4" t="n">
        <f aca="false">E14*K14*L14</f>
        <v>48655.6</v>
      </c>
      <c r="N14" s="4" t="n">
        <f aca="false">M14*1.18</f>
        <v>57413.608</v>
      </c>
    </row>
    <row r="15" customFormat="false" ht="15" hidden="false" customHeight="false" outlineLevel="0" collapsed="false">
      <c r="A15" s="0" t="s">
        <v>62</v>
      </c>
      <c r="B15" s="6" t="n">
        <v>46056</v>
      </c>
      <c r="C15" s="3" t="s">
        <v>130</v>
      </c>
      <c r="D15" s="0" t="n">
        <v>26</v>
      </c>
      <c r="E15" s="0" t="n">
        <v>4198.94</v>
      </c>
      <c r="F15" s="6" t="n">
        <v>46055</v>
      </c>
      <c r="G15" s="3" t="s">
        <v>133</v>
      </c>
      <c r="H15" s="6" t="n">
        <v>46056</v>
      </c>
      <c r="I15" s="3" t="s">
        <v>135</v>
      </c>
      <c r="J15" s="3" t="s">
        <v>40</v>
      </c>
      <c r="K15" s="0" t="n">
        <v>3</v>
      </c>
      <c r="L15" s="0" t="n">
        <v>1</v>
      </c>
      <c r="M15" s="4" t="n">
        <f aca="false">E15*K15*L15</f>
        <v>12596.82</v>
      </c>
      <c r="N15" s="4" t="n">
        <f aca="false">M15*1.18</f>
        <v>14864.2476</v>
      </c>
    </row>
    <row r="16" customFormat="false" ht="15" hidden="false" customHeight="false" outlineLevel="0" collapsed="false">
      <c r="A16" s="0" t="s">
        <v>62</v>
      </c>
      <c r="B16" s="6" t="n">
        <v>46057</v>
      </c>
      <c r="C16" s="3" t="s">
        <v>143</v>
      </c>
      <c r="D16" s="0" t="n">
        <v>21</v>
      </c>
      <c r="E16" s="0" t="n">
        <v>1437.22</v>
      </c>
      <c r="F16" s="6" t="n">
        <v>46054</v>
      </c>
      <c r="G16" s="3" t="s">
        <v>146</v>
      </c>
      <c r="H16" s="6" t="n">
        <v>46057</v>
      </c>
      <c r="I16" s="3" t="s">
        <v>148</v>
      </c>
      <c r="J16" s="3" t="s">
        <v>40</v>
      </c>
      <c r="K16" s="0" t="n">
        <v>3</v>
      </c>
      <c r="L16" s="0" t="n">
        <v>1</v>
      </c>
      <c r="M16" s="4" t="n">
        <f aca="false">E16*K16*L16</f>
        <v>4311.66</v>
      </c>
      <c r="N16" s="4" t="n">
        <f aca="false">M16*1.18</f>
        <v>5087.7588</v>
      </c>
    </row>
    <row r="17" customFormat="false" ht="15" hidden="false" customHeight="false" outlineLevel="0" collapsed="false">
      <c r="A17" s="0" t="s">
        <v>62</v>
      </c>
      <c r="B17" s="6" t="n">
        <v>46058</v>
      </c>
      <c r="C17" s="3" t="s">
        <v>156</v>
      </c>
      <c r="D17" s="0" t="n">
        <v>147</v>
      </c>
      <c r="E17" s="0" t="n">
        <v>220.94</v>
      </c>
      <c r="F17" s="6" t="n">
        <v>46057</v>
      </c>
      <c r="G17" s="3" t="s">
        <v>159</v>
      </c>
      <c r="H17" s="6" t="n">
        <v>46058</v>
      </c>
      <c r="I17" s="3" t="s">
        <v>161</v>
      </c>
      <c r="J17" s="3" t="s">
        <v>82</v>
      </c>
      <c r="K17" s="0" t="n">
        <v>5</v>
      </c>
      <c r="L17" s="0" t="n">
        <v>2</v>
      </c>
      <c r="M17" s="4" t="n">
        <f aca="false">E17*K17*L17</f>
        <v>2209.4</v>
      </c>
      <c r="N17" s="4" t="n">
        <f aca="false">M17*1.18</f>
        <v>2607.092</v>
      </c>
    </row>
    <row r="18" customFormat="false" ht="15" hidden="false" customHeight="false" outlineLevel="0" collapsed="false">
      <c r="A18" s="0" t="s">
        <v>62</v>
      </c>
      <c r="B18" s="6" t="n">
        <v>46058</v>
      </c>
      <c r="C18" s="3" t="s">
        <v>162</v>
      </c>
      <c r="D18" s="0" t="n">
        <v>203</v>
      </c>
      <c r="E18" s="0" t="n">
        <v>2499.77</v>
      </c>
      <c r="F18" s="6" t="n">
        <v>46055</v>
      </c>
      <c r="G18" s="3" t="s">
        <v>165</v>
      </c>
      <c r="H18" s="6" t="n">
        <v>46058</v>
      </c>
      <c r="I18" s="3" t="s">
        <v>167</v>
      </c>
      <c r="J18" s="3" t="s">
        <v>40</v>
      </c>
      <c r="K18" s="0" t="n">
        <v>3</v>
      </c>
      <c r="L18" s="0" t="n">
        <v>3</v>
      </c>
      <c r="M18" s="4" t="n">
        <f aca="false">E18*K18*L18</f>
        <v>22497.93</v>
      </c>
      <c r="N18" s="4" t="n">
        <f aca="false">M18*1.18</f>
        <v>26547.5574</v>
      </c>
    </row>
    <row r="19" customFormat="false" ht="15" hidden="false" customHeight="false" outlineLevel="0" collapsed="false">
      <c r="A19" s="0" t="s">
        <v>29</v>
      </c>
      <c r="B19" s="6" t="n">
        <v>46060</v>
      </c>
      <c r="C19" s="3" t="s">
        <v>173</v>
      </c>
      <c r="D19" s="0" t="n">
        <v>93</v>
      </c>
      <c r="E19" s="0" t="n">
        <v>711.25</v>
      </c>
      <c r="F19" s="6" t="n">
        <v>46058</v>
      </c>
      <c r="G19" s="3" t="s">
        <v>176</v>
      </c>
      <c r="H19" s="6" t="n">
        <v>46060</v>
      </c>
      <c r="I19" s="3" t="s">
        <v>178</v>
      </c>
      <c r="J19" s="3" t="s">
        <v>90</v>
      </c>
      <c r="K19" s="0" t="n">
        <v>3</v>
      </c>
      <c r="L19" s="0" t="n">
        <v>3</v>
      </c>
      <c r="M19" s="4" t="n">
        <f aca="false">E19*K19*L19</f>
        <v>6401.25</v>
      </c>
      <c r="N19" s="4" t="n">
        <f aca="false">M19*1.18</f>
        <v>7553.475</v>
      </c>
    </row>
    <row r="20" customFormat="false" ht="15" hidden="false" customHeight="false" outlineLevel="0" collapsed="false">
      <c r="A20" s="0" t="s">
        <v>29</v>
      </c>
      <c r="B20" s="6" t="n">
        <v>46060</v>
      </c>
      <c r="C20" s="3" t="s">
        <v>180</v>
      </c>
      <c r="D20" s="0" t="n">
        <v>147</v>
      </c>
      <c r="E20" s="0" t="n">
        <v>2655.41</v>
      </c>
      <c r="F20" s="6" t="n">
        <v>46059</v>
      </c>
      <c r="G20" s="3" t="s">
        <v>183</v>
      </c>
      <c r="H20" s="6" t="n">
        <v>46060</v>
      </c>
      <c r="I20" s="3" t="s">
        <v>185</v>
      </c>
      <c r="J20" s="3" t="s">
        <v>40</v>
      </c>
      <c r="K20" s="0" t="n">
        <v>3</v>
      </c>
      <c r="L20" s="0" t="n">
        <v>2</v>
      </c>
      <c r="M20" s="4" t="n">
        <f aca="false">E20*K20*L20</f>
        <v>15932.46</v>
      </c>
      <c r="N20" s="4" t="n">
        <f aca="false">M20*1.18</f>
        <v>18800.3028</v>
      </c>
    </row>
    <row r="21" customFormat="false" ht="15" hidden="false" customHeight="false" outlineLevel="0" collapsed="false">
      <c r="A21" s="0" t="s">
        <v>29</v>
      </c>
      <c r="B21" s="6" t="n">
        <v>46060</v>
      </c>
      <c r="C21" s="3" t="s">
        <v>192</v>
      </c>
      <c r="D21" s="0" t="n">
        <v>154</v>
      </c>
      <c r="E21" s="0" t="n">
        <v>961.29</v>
      </c>
      <c r="F21" s="6" t="n">
        <v>46059</v>
      </c>
      <c r="G21" s="3" t="s">
        <v>195</v>
      </c>
      <c r="H21" s="6" t="n">
        <v>46060</v>
      </c>
      <c r="I21" s="3" t="s">
        <v>197</v>
      </c>
      <c r="J21" s="3" t="s">
        <v>40</v>
      </c>
      <c r="K21" s="0" t="n">
        <v>3</v>
      </c>
      <c r="L21" s="0" t="n">
        <v>1</v>
      </c>
      <c r="M21" s="4" t="n">
        <f aca="false">E21*K21*L21</f>
        <v>2883.87</v>
      </c>
      <c r="N21" s="4" t="n">
        <f aca="false">M21*1.18</f>
        <v>3402.9666</v>
      </c>
    </row>
    <row r="22" customFormat="false" ht="15" hidden="false" customHeight="false" outlineLevel="0" collapsed="false">
      <c r="A22" s="0" t="s">
        <v>62</v>
      </c>
      <c r="B22" s="6" t="n">
        <v>46060</v>
      </c>
      <c r="C22" s="3" t="s">
        <v>198</v>
      </c>
      <c r="D22" s="0" t="n">
        <v>115</v>
      </c>
      <c r="E22" s="0" t="n">
        <v>2461.25</v>
      </c>
      <c r="F22" s="6" t="n">
        <v>46058</v>
      </c>
      <c r="G22" s="3" t="s">
        <v>201</v>
      </c>
      <c r="H22" s="6" t="n">
        <v>46060</v>
      </c>
      <c r="I22" s="3" t="s">
        <v>152</v>
      </c>
      <c r="J22" s="3" t="s">
        <v>40</v>
      </c>
      <c r="K22" s="0" t="n">
        <v>3</v>
      </c>
      <c r="L22" s="0" t="n">
        <v>1</v>
      </c>
      <c r="M22" s="4" t="n">
        <f aca="false">E22*K22*L22</f>
        <v>7383.75</v>
      </c>
      <c r="N22" s="4" t="n">
        <f aca="false">M22*1.18</f>
        <v>8712.825</v>
      </c>
    </row>
    <row r="23" customFormat="false" ht="15" hidden="false" customHeight="false" outlineLevel="0" collapsed="false">
      <c r="A23" s="0" t="s">
        <v>62</v>
      </c>
      <c r="B23" s="6" t="n">
        <v>46060</v>
      </c>
      <c r="C23" s="3" t="s">
        <v>203</v>
      </c>
      <c r="D23" s="0" t="n">
        <v>159</v>
      </c>
      <c r="E23" s="0" t="n">
        <v>2526.85</v>
      </c>
      <c r="F23" s="6" t="n">
        <v>46060</v>
      </c>
      <c r="G23" s="3" t="s">
        <v>65</v>
      </c>
      <c r="H23" s="6" t="n">
        <v>46060</v>
      </c>
      <c r="I23" s="3" t="s">
        <v>205</v>
      </c>
      <c r="J23" s="3" t="s">
        <v>90</v>
      </c>
      <c r="K23" s="0" t="n">
        <v>3</v>
      </c>
      <c r="L23" s="0" t="n">
        <v>3</v>
      </c>
      <c r="M23" s="4" t="n">
        <f aca="false">E23*K23*L23</f>
        <v>22741.65</v>
      </c>
      <c r="N23" s="4" t="n">
        <f aca="false">M23*1.18</f>
        <v>26835.147</v>
      </c>
    </row>
    <row r="24" customFormat="false" ht="15" hidden="false" customHeight="false" outlineLevel="0" collapsed="false">
      <c r="A24" s="0" t="s">
        <v>62</v>
      </c>
      <c r="B24" s="6" t="n">
        <v>46060</v>
      </c>
      <c r="C24" s="3" t="s">
        <v>206</v>
      </c>
      <c r="D24" s="0" t="n">
        <v>61</v>
      </c>
      <c r="E24" s="0" t="n">
        <v>1386.08</v>
      </c>
      <c r="F24" s="6" t="n">
        <v>46060</v>
      </c>
      <c r="G24" s="3" t="s">
        <v>209</v>
      </c>
      <c r="H24" s="6" t="n">
        <v>46060</v>
      </c>
      <c r="I24" s="3" t="s">
        <v>43</v>
      </c>
      <c r="J24" s="3" t="s">
        <v>40</v>
      </c>
      <c r="K24" s="0" t="n">
        <v>3</v>
      </c>
      <c r="L24" s="0" t="n">
        <v>2</v>
      </c>
      <c r="M24" s="4" t="n">
        <f aca="false">E24*K24*L24</f>
        <v>8316.48</v>
      </c>
      <c r="N24" s="4" t="n">
        <f aca="false">M24*1.18</f>
        <v>9813.4464</v>
      </c>
    </row>
    <row r="25" customFormat="false" ht="15" hidden="false" customHeight="false" outlineLevel="0" collapsed="false">
      <c r="A25" s="0" t="s">
        <v>62</v>
      </c>
      <c r="B25" s="6" t="n">
        <v>46060</v>
      </c>
      <c r="C25" s="3" t="s">
        <v>211</v>
      </c>
      <c r="D25" s="0" t="n">
        <v>160</v>
      </c>
      <c r="E25" s="0" t="n">
        <v>1215.91</v>
      </c>
      <c r="F25" s="6" t="n">
        <v>46060</v>
      </c>
      <c r="G25" s="3" t="s">
        <v>214</v>
      </c>
      <c r="H25" s="6" t="n">
        <v>46060</v>
      </c>
      <c r="I25" s="3" t="s">
        <v>216</v>
      </c>
      <c r="J25" s="3" t="s">
        <v>40</v>
      </c>
      <c r="K25" s="0" t="n">
        <v>3</v>
      </c>
      <c r="L25" s="0" t="n">
        <v>3</v>
      </c>
      <c r="M25" s="4" t="n">
        <f aca="false">E25*K25*L25</f>
        <v>10943.19</v>
      </c>
      <c r="N25" s="4" t="n">
        <f aca="false">M25*1.18</f>
        <v>12912.9642</v>
      </c>
    </row>
    <row r="26" customFormat="false" ht="15" hidden="false" customHeight="false" outlineLevel="0" collapsed="false">
      <c r="A26" s="0" t="s">
        <v>62</v>
      </c>
      <c r="B26" s="6" t="n">
        <v>46060</v>
      </c>
      <c r="C26" s="3" t="s">
        <v>217</v>
      </c>
      <c r="D26" s="0" t="n">
        <v>29</v>
      </c>
      <c r="E26" s="0" t="n">
        <v>1624.04</v>
      </c>
      <c r="F26" s="6" t="n">
        <v>46058</v>
      </c>
      <c r="G26" s="3" t="s">
        <v>220</v>
      </c>
      <c r="H26" s="6" t="n">
        <v>46060</v>
      </c>
      <c r="I26" s="3" t="s">
        <v>222</v>
      </c>
      <c r="J26" s="3" t="s">
        <v>40</v>
      </c>
      <c r="K26" s="0" t="n">
        <v>3</v>
      </c>
      <c r="L26" s="0" t="n">
        <v>1</v>
      </c>
      <c r="M26" s="4" t="n">
        <f aca="false">E26*K26*L26</f>
        <v>4872.12</v>
      </c>
      <c r="N26" s="4" t="n">
        <f aca="false">M26*1.18</f>
        <v>5749.1016</v>
      </c>
    </row>
    <row r="27" customFormat="false" ht="15" hidden="false" customHeight="false" outlineLevel="0" collapsed="false">
      <c r="A27" s="0" t="s">
        <v>62</v>
      </c>
      <c r="B27" s="6" t="n">
        <v>46060</v>
      </c>
      <c r="C27" s="3" t="s">
        <v>229</v>
      </c>
      <c r="D27" s="0" t="n">
        <v>93</v>
      </c>
      <c r="E27" s="0" t="n">
        <v>1037.52</v>
      </c>
      <c r="F27" s="6" t="n">
        <v>46059</v>
      </c>
      <c r="G27" s="3" t="s">
        <v>232</v>
      </c>
      <c r="H27" s="6" t="n">
        <v>46060</v>
      </c>
      <c r="I27" s="3" t="s">
        <v>234</v>
      </c>
      <c r="J27" s="3" t="s">
        <v>90</v>
      </c>
      <c r="K27" s="0" t="n">
        <v>3</v>
      </c>
      <c r="L27" s="0" t="n">
        <v>2</v>
      </c>
      <c r="M27" s="4" t="n">
        <f aca="false">E27*K27*L27</f>
        <v>6225.12</v>
      </c>
      <c r="N27" s="4" t="n">
        <f aca="false">M27*1.18</f>
        <v>7345.6416</v>
      </c>
    </row>
    <row r="28" customFormat="false" ht="15" hidden="false" customHeight="false" outlineLevel="0" collapsed="false">
      <c r="A28" s="0" t="s">
        <v>29</v>
      </c>
      <c r="B28" s="6" t="n">
        <v>46061</v>
      </c>
      <c r="C28" s="3" t="s">
        <v>249</v>
      </c>
      <c r="D28" s="0" t="n">
        <v>37</v>
      </c>
      <c r="E28" s="0" t="n">
        <v>1368.54</v>
      </c>
      <c r="F28" s="6" t="n">
        <v>46058</v>
      </c>
      <c r="G28" s="3" t="s">
        <v>252</v>
      </c>
      <c r="H28" s="6" t="n">
        <v>46061</v>
      </c>
      <c r="I28" s="3" t="s">
        <v>254</v>
      </c>
      <c r="J28" s="3" t="s">
        <v>40</v>
      </c>
      <c r="K28" s="0" t="n">
        <v>3</v>
      </c>
      <c r="L28" s="0" t="n">
        <v>1</v>
      </c>
      <c r="M28" s="4" t="n">
        <f aca="false">E28*K28*L28</f>
        <v>4105.62</v>
      </c>
      <c r="N28" s="4" t="n">
        <f aca="false">M28*1.18</f>
        <v>4844.6316</v>
      </c>
    </row>
    <row r="29" customFormat="false" ht="15" hidden="false" customHeight="false" outlineLevel="0" collapsed="false">
      <c r="A29" s="0" t="s">
        <v>62</v>
      </c>
      <c r="B29" s="6" t="n">
        <v>46061</v>
      </c>
      <c r="C29" s="3" t="s">
        <v>255</v>
      </c>
      <c r="D29" s="0" t="n">
        <v>134</v>
      </c>
      <c r="E29" s="0" t="n">
        <v>2083.18</v>
      </c>
      <c r="F29" s="6" t="n">
        <v>46060</v>
      </c>
      <c r="G29" s="3" t="s">
        <v>258</v>
      </c>
      <c r="H29" s="6" t="n">
        <v>46061</v>
      </c>
      <c r="I29" s="3" t="s">
        <v>260</v>
      </c>
      <c r="J29" s="3" t="s">
        <v>40</v>
      </c>
      <c r="K29" s="0" t="n">
        <v>3</v>
      </c>
      <c r="L29" s="0" t="n">
        <v>1</v>
      </c>
      <c r="M29" s="4" t="n">
        <f aca="false">E29*K29*L29</f>
        <v>6249.54</v>
      </c>
      <c r="N29" s="4" t="n">
        <f aca="false">M29*1.18</f>
        <v>7374.4572</v>
      </c>
    </row>
    <row r="30" customFormat="false" ht="15" hidden="false" customHeight="false" outlineLevel="0" collapsed="false">
      <c r="A30" s="0" t="s">
        <v>62</v>
      </c>
      <c r="B30" s="6" t="n">
        <v>46061</v>
      </c>
      <c r="C30" s="3" t="s">
        <v>262</v>
      </c>
      <c r="D30" s="0" t="n">
        <v>17</v>
      </c>
      <c r="E30" s="0" t="n">
        <v>1895.97</v>
      </c>
      <c r="F30" s="6" t="n">
        <v>46059</v>
      </c>
      <c r="G30" s="3" t="s">
        <v>265</v>
      </c>
      <c r="H30" s="6" t="n">
        <v>46061</v>
      </c>
      <c r="I30" s="3" t="s">
        <v>267</v>
      </c>
      <c r="J30" s="3" t="s">
        <v>40</v>
      </c>
      <c r="K30" s="0" t="n">
        <v>3</v>
      </c>
      <c r="L30" s="0" t="n">
        <v>2</v>
      </c>
      <c r="M30" s="4" t="n">
        <f aca="false">E30*K30*L30</f>
        <v>11375.82</v>
      </c>
      <c r="N30" s="4" t="n">
        <f aca="false">M30*1.18</f>
        <v>13423.4676</v>
      </c>
    </row>
    <row r="31" customFormat="false" ht="15" hidden="false" customHeight="false" outlineLevel="0" collapsed="false">
      <c r="A31" s="0" t="s">
        <v>29</v>
      </c>
      <c r="B31" s="6" t="n">
        <v>46062</v>
      </c>
      <c r="C31" s="3" t="s">
        <v>268</v>
      </c>
      <c r="D31" s="0" t="n">
        <v>109</v>
      </c>
      <c r="E31" s="0" t="n">
        <v>578.21</v>
      </c>
      <c r="F31" s="6" t="n">
        <v>46059</v>
      </c>
      <c r="G31" s="3" t="s">
        <v>271</v>
      </c>
      <c r="H31" s="6" t="n">
        <v>46062</v>
      </c>
      <c r="I31" s="3" t="s">
        <v>273</v>
      </c>
      <c r="J31" s="3" t="s">
        <v>248</v>
      </c>
      <c r="K31" s="0" t="n">
        <v>3</v>
      </c>
      <c r="L31" s="0" t="n">
        <v>1</v>
      </c>
      <c r="M31" s="4" t="n">
        <f aca="false">E31*K31*L31</f>
        <v>1734.63</v>
      </c>
      <c r="N31" s="4" t="n">
        <f aca="false">M31*1.18</f>
        <v>2046.8634</v>
      </c>
    </row>
    <row r="32" customFormat="false" ht="15" hidden="false" customHeight="false" outlineLevel="0" collapsed="false">
      <c r="A32" s="0" t="s">
        <v>62</v>
      </c>
      <c r="B32" s="6" t="n">
        <v>46062</v>
      </c>
      <c r="C32" s="3" t="s">
        <v>286</v>
      </c>
      <c r="D32" s="0" t="n">
        <v>114</v>
      </c>
      <c r="E32" s="0" t="n">
        <v>2836.67</v>
      </c>
      <c r="F32" s="6" t="n">
        <v>46059</v>
      </c>
      <c r="G32" s="3" t="s">
        <v>289</v>
      </c>
      <c r="H32" s="6" t="n">
        <v>46062</v>
      </c>
      <c r="I32" s="3" t="s">
        <v>291</v>
      </c>
      <c r="J32" s="3" t="s">
        <v>90</v>
      </c>
      <c r="K32" s="0" t="n">
        <v>3</v>
      </c>
      <c r="L32" s="0" t="n">
        <v>1</v>
      </c>
      <c r="M32" s="4" t="n">
        <f aca="false">E32*K32*L32</f>
        <v>8510.01</v>
      </c>
      <c r="N32" s="4" t="n">
        <f aca="false">M32*1.18</f>
        <v>10041.8118</v>
      </c>
    </row>
    <row r="33" customFormat="false" ht="15" hidden="false" customHeight="false" outlineLevel="0" collapsed="false">
      <c r="A33" s="0" t="s">
        <v>62</v>
      </c>
      <c r="B33" s="6" t="n">
        <v>46063</v>
      </c>
      <c r="C33" s="3" t="s">
        <v>298</v>
      </c>
      <c r="D33" s="0" t="n">
        <v>139</v>
      </c>
      <c r="E33" s="0" t="n">
        <v>345.46</v>
      </c>
      <c r="F33" s="6" t="n">
        <v>46061</v>
      </c>
      <c r="G33" s="3" t="s">
        <v>301</v>
      </c>
      <c r="H33" s="6" t="n">
        <v>46063</v>
      </c>
      <c r="I33" s="3" t="s">
        <v>303</v>
      </c>
      <c r="J33" s="3" t="s">
        <v>40</v>
      </c>
      <c r="K33" s="0" t="n">
        <v>3</v>
      </c>
      <c r="L33" s="0" t="n">
        <v>1</v>
      </c>
      <c r="M33" s="4" t="n">
        <f aca="false">E33*K33*L33</f>
        <v>1036.38</v>
      </c>
      <c r="N33" s="4" t="n">
        <f aca="false">M33*1.18</f>
        <v>1222.9284</v>
      </c>
    </row>
    <row r="34" customFormat="false" ht="15" hidden="false" customHeight="false" outlineLevel="0" collapsed="false">
      <c r="A34" s="0" t="s">
        <v>29</v>
      </c>
      <c r="B34" s="6" t="n">
        <v>46064</v>
      </c>
      <c r="C34" s="3" t="s">
        <v>317</v>
      </c>
      <c r="D34" s="0" t="n">
        <v>123</v>
      </c>
      <c r="E34" s="0" t="n">
        <v>2417.87</v>
      </c>
      <c r="F34" s="6" t="n">
        <v>46064</v>
      </c>
      <c r="G34" s="3" t="s">
        <v>320</v>
      </c>
      <c r="H34" s="6" t="n">
        <v>46064</v>
      </c>
      <c r="I34" s="3" t="s">
        <v>322</v>
      </c>
      <c r="J34" s="3" t="s">
        <v>40</v>
      </c>
      <c r="K34" s="0" t="n">
        <v>3</v>
      </c>
      <c r="L34" s="0" t="n">
        <v>1</v>
      </c>
      <c r="M34" s="4" t="n">
        <f aca="false">E34*K34*L34</f>
        <v>7253.61</v>
      </c>
      <c r="N34" s="4" t="n">
        <f aca="false">M34*1.18</f>
        <v>8559.2598</v>
      </c>
    </row>
    <row r="35" customFormat="false" ht="15" hidden="false" customHeight="false" outlineLevel="0" collapsed="false">
      <c r="A35" s="0" t="s">
        <v>29</v>
      </c>
      <c r="B35" s="6" t="n">
        <v>46064</v>
      </c>
      <c r="C35" s="3" t="s">
        <v>323</v>
      </c>
      <c r="D35" s="0" t="n">
        <v>174</v>
      </c>
      <c r="E35" s="0" t="n">
        <v>474.1</v>
      </c>
      <c r="F35" s="6" t="n">
        <v>46063</v>
      </c>
      <c r="G35" s="3" t="s">
        <v>326</v>
      </c>
      <c r="H35" s="6" t="n">
        <v>46064</v>
      </c>
      <c r="I35" s="3" t="s">
        <v>328</v>
      </c>
      <c r="J35" s="3" t="s">
        <v>40</v>
      </c>
      <c r="K35" s="0" t="n">
        <v>3</v>
      </c>
      <c r="L35" s="0" t="n">
        <v>1</v>
      </c>
      <c r="M35" s="4" t="n">
        <f aca="false">E35*K35*L35</f>
        <v>1422.3</v>
      </c>
      <c r="N35" s="4" t="n">
        <f aca="false">M35*1.18</f>
        <v>1678.314</v>
      </c>
    </row>
    <row r="36" customFormat="false" ht="15" hidden="false" customHeight="false" outlineLevel="0" collapsed="false">
      <c r="A36" s="0" t="s">
        <v>29</v>
      </c>
      <c r="B36" s="6" t="n">
        <v>46064</v>
      </c>
      <c r="C36" s="3" t="s">
        <v>329</v>
      </c>
      <c r="D36" s="0" t="n">
        <v>215</v>
      </c>
      <c r="E36" s="0" t="n">
        <v>1305.69</v>
      </c>
      <c r="F36" s="6" t="n">
        <v>46064</v>
      </c>
      <c r="G36" s="3" t="s">
        <v>224</v>
      </c>
      <c r="H36" s="6" t="n">
        <v>46064</v>
      </c>
      <c r="I36" s="3" t="s">
        <v>250</v>
      </c>
      <c r="J36" s="3" t="s">
        <v>40</v>
      </c>
      <c r="K36" s="0" t="n">
        <v>3</v>
      </c>
      <c r="L36" s="0" t="n">
        <v>1</v>
      </c>
      <c r="M36" s="4" t="n">
        <f aca="false">E36*K36*L36</f>
        <v>3917.07</v>
      </c>
      <c r="N36" s="4" t="n">
        <f aca="false">M36*1.18</f>
        <v>4622.1426</v>
      </c>
    </row>
    <row r="37" customFormat="false" ht="15" hidden="false" customHeight="false" outlineLevel="0" collapsed="false">
      <c r="A37" s="0" t="s">
        <v>62</v>
      </c>
      <c r="B37" s="6" t="n">
        <v>46064</v>
      </c>
      <c r="C37" s="3" t="s">
        <v>333</v>
      </c>
      <c r="D37" s="0" t="n">
        <v>210</v>
      </c>
      <c r="E37" s="0" t="n">
        <v>3141.24</v>
      </c>
      <c r="F37" s="6" t="n">
        <v>46062</v>
      </c>
      <c r="G37" s="3" t="s">
        <v>336</v>
      </c>
      <c r="H37" s="6" t="n">
        <v>46064</v>
      </c>
      <c r="I37" s="3" t="s">
        <v>121</v>
      </c>
      <c r="J37" s="3" t="s">
        <v>40</v>
      </c>
      <c r="K37" s="0" t="n">
        <v>3</v>
      </c>
      <c r="L37" s="0" t="n">
        <v>2</v>
      </c>
      <c r="M37" s="4" t="n">
        <f aca="false">E37*K37*L37</f>
        <v>18847.44</v>
      </c>
      <c r="N37" s="4" t="n">
        <f aca="false">M37*1.18</f>
        <v>22239.9792</v>
      </c>
    </row>
    <row r="38" customFormat="false" ht="15" hidden="false" customHeight="false" outlineLevel="0" collapsed="false">
      <c r="A38" s="0" t="s">
        <v>62</v>
      </c>
      <c r="B38" s="6" t="n">
        <v>46064</v>
      </c>
      <c r="C38" s="3" t="s">
        <v>338</v>
      </c>
      <c r="D38" s="0" t="n">
        <v>210</v>
      </c>
      <c r="E38" s="0" t="n">
        <v>405.09</v>
      </c>
      <c r="F38" s="6" t="n">
        <v>46062</v>
      </c>
      <c r="G38" s="3" t="s">
        <v>340</v>
      </c>
      <c r="H38" s="6" t="n">
        <v>46064</v>
      </c>
      <c r="I38" s="3" t="s">
        <v>158</v>
      </c>
      <c r="J38" s="3" t="s">
        <v>40</v>
      </c>
      <c r="K38" s="0" t="n">
        <v>3</v>
      </c>
      <c r="L38" s="0" t="n">
        <v>1</v>
      </c>
      <c r="M38" s="4" t="n">
        <f aca="false">E38*K38*L38</f>
        <v>1215.27</v>
      </c>
      <c r="N38" s="4" t="n">
        <f aca="false">M38*1.18</f>
        <v>1434.0186</v>
      </c>
    </row>
    <row r="39" customFormat="false" ht="15" hidden="false" customHeight="false" outlineLevel="0" collapsed="false">
      <c r="A39" s="0" t="s">
        <v>29</v>
      </c>
      <c r="B39" s="6" t="n">
        <v>46065</v>
      </c>
      <c r="C39" s="3" t="s">
        <v>342</v>
      </c>
      <c r="D39" s="0" t="n">
        <v>202</v>
      </c>
      <c r="E39" s="0" t="n">
        <v>753.56</v>
      </c>
      <c r="F39" s="6" t="n">
        <v>46064</v>
      </c>
      <c r="G39" s="3" t="s">
        <v>345</v>
      </c>
      <c r="H39" s="6" t="n">
        <v>46065</v>
      </c>
      <c r="I39" s="3" t="s">
        <v>347</v>
      </c>
      <c r="J39" s="3" t="s">
        <v>40</v>
      </c>
      <c r="K39" s="0" t="n">
        <v>3</v>
      </c>
      <c r="L39" s="0" t="n">
        <v>3</v>
      </c>
      <c r="M39" s="4" t="n">
        <f aca="false">E39*K39*L39</f>
        <v>6782.04</v>
      </c>
      <c r="N39" s="4" t="n">
        <f aca="false">M39*1.18</f>
        <v>8002.8072</v>
      </c>
    </row>
    <row r="40" customFormat="false" ht="15" hidden="false" customHeight="false" outlineLevel="0" collapsed="false">
      <c r="A40" s="0" t="s">
        <v>62</v>
      </c>
      <c r="B40" s="6" t="n">
        <v>46065</v>
      </c>
      <c r="C40" s="3" t="s">
        <v>355</v>
      </c>
      <c r="D40" s="0" t="n">
        <v>148</v>
      </c>
      <c r="E40" s="0" t="n">
        <v>1035</v>
      </c>
      <c r="F40" s="6" t="n">
        <v>46064</v>
      </c>
      <c r="G40" s="3" t="s">
        <v>358</v>
      </c>
      <c r="H40" s="6" t="n">
        <v>46065</v>
      </c>
      <c r="I40" s="3" t="s">
        <v>360</v>
      </c>
      <c r="J40" s="3" t="s">
        <v>82</v>
      </c>
      <c r="K40" s="0" t="n">
        <v>5</v>
      </c>
      <c r="L40" s="0" t="n">
        <v>2</v>
      </c>
      <c r="M40" s="4" t="n">
        <f aca="false">E40*K40*L40</f>
        <v>10350</v>
      </c>
      <c r="N40" s="4" t="n">
        <f aca="false">M40*1.18</f>
        <v>12213</v>
      </c>
    </row>
    <row r="41" customFormat="false" ht="15" hidden="false" customHeight="false" outlineLevel="0" collapsed="false">
      <c r="A41" s="0" t="s">
        <v>62</v>
      </c>
      <c r="B41" s="6" t="n">
        <v>46065</v>
      </c>
      <c r="C41" s="3" t="s">
        <v>361</v>
      </c>
      <c r="D41" s="0" t="n">
        <v>53</v>
      </c>
      <c r="E41" s="0" t="n">
        <v>248.62</v>
      </c>
      <c r="F41" s="6" t="n">
        <v>46063</v>
      </c>
      <c r="G41" s="3" t="s">
        <v>363</v>
      </c>
      <c r="H41" s="6" t="n">
        <v>46065</v>
      </c>
      <c r="I41" s="3" t="s">
        <v>365</v>
      </c>
      <c r="J41" s="3" t="s">
        <v>40</v>
      </c>
      <c r="K41" s="0" t="n">
        <v>3</v>
      </c>
      <c r="L41" s="0" t="n">
        <v>2</v>
      </c>
      <c r="M41" s="4" t="n">
        <f aca="false">E41*K41*L41</f>
        <v>1491.72</v>
      </c>
      <c r="N41" s="4" t="n">
        <f aca="false">M41*1.18</f>
        <v>1760.2296</v>
      </c>
    </row>
    <row r="42" customFormat="false" ht="15" hidden="false" customHeight="false" outlineLevel="0" collapsed="false">
      <c r="A42" s="0" t="s">
        <v>62</v>
      </c>
      <c r="B42" s="6" t="n">
        <v>46065</v>
      </c>
      <c r="C42" s="3" t="s">
        <v>366</v>
      </c>
      <c r="D42" s="0" t="n">
        <v>50</v>
      </c>
      <c r="E42" s="0" t="n">
        <v>2370.19</v>
      </c>
      <c r="F42" s="6" t="n">
        <v>46063</v>
      </c>
      <c r="G42" s="3" t="s">
        <v>151</v>
      </c>
      <c r="H42" s="6" t="n">
        <v>46065</v>
      </c>
      <c r="I42" s="3" t="s">
        <v>370</v>
      </c>
      <c r="J42" s="3" t="s">
        <v>248</v>
      </c>
      <c r="K42" s="0" t="n">
        <v>3</v>
      </c>
      <c r="L42" s="0" t="n">
        <v>2</v>
      </c>
      <c r="M42" s="4" t="n">
        <f aca="false">E42*K42*L42</f>
        <v>14221.14</v>
      </c>
      <c r="N42" s="4" t="n">
        <f aca="false">M42*1.18</f>
        <v>16780.9452</v>
      </c>
    </row>
    <row r="43" customFormat="false" ht="15" hidden="false" customHeight="false" outlineLevel="0" collapsed="false">
      <c r="A43" s="0" t="s">
        <v>62</v>
      </c>
      <c r="B43" s="6" t="n">
        <v>46065</v>
      </c>
      <c r="C43" s="3" t="s">
        <v>371</v>
      </c>
      <c r="D43" s="0" t="n">
        <v>202</v>
      </c>
      <c r="E43" s="0" t="n">
        <v>2287.26</v>
      </c>
      <c r="F43" s="6" t="n">
        <v>46063</v>
      </c>
      <c r="G43" s="3" t="s">
        <v>374</v>
      </c>
      <c r="H43" s="6" t="n">
        <v>46065</v>
      </c>
      <c r="I43" s="3" t="s">
        <v>376</v>
      </c>
      <c r="J43" s="3" t="s">
        <v>40</v>
      </c>
      <c r="K43" s="0" t="n">
        <v>3</v>
      </c>
      <c r="L43" s="0" t="n">
        <v>3</v>
      </c>
      <c r="M43" s="4" t="n">
        <f aca="false">E43*K43*L43</f>
        <v>20585.34</v>
      </c>
      <c r="N43" s="4" t="n">
        <f aca="false">M43*1.18</f>
        <v>24290.7012</v>
      </c>
    </row>
    <row r="44" customFormat="false" ht="15" hidden="false" customHeight="false" outlineLevel="0" collapsed="false">
      <c r="A44" s="0" t="s">
        <v>29</v>
      </c>
      <c r="B44" s="6" t="n">
        <v>46066</v>
      </c>
      <c r="C44" s="3" t="s">
        <v>377</v>
      </c>
      <c r="D44" s="0" t="n">
        <v>150</v>
      </c>
      <c r="E44" s="0" t="n">
        <v>2845.57</v>
      </c>
      <c r="F44" s="6" t="n">
        <v>46064</v>
      </c>
      <c r="G44" s="3" t="s">
        <v>380</v>
      </c>
      <c r="H44" s="6" t="n">
        <v>46066</v>
      </c>
      <c r="I44" s="3" t="s">
        <v>382</v>
      </c>
      <c r="J44" s="3" t="s">
        <v>40</v>
      </c>
      <c r="K44" s="0" t="n">
        <v>3</v>
      </c>
      <c r="L44" s="0" t="n">
        <v>3</v>
      </c>
      <c r="M44" s="4" t="n">
        <f aca="false">E44*K44*L44</f>
        <v>25610.13</v>
      </c>
      <c r="N44" s="4" t="n">
        <f aca="false">M44*1.18</f>
        <v>30219.9534</v>
      </c>
    </row>
    <row r="45" customFormat="false" ht="15" hidden="false" customHeight="false" outlineLevel="0" collapsed="false">
      <c r="A45" s="0" t="s">
        <v>29</v>
      </c>
      <c r="B45" s="6" t="n">
        <v>46066</v>
      </c>
      <c r="C45" s="3" t="s">
        <v>383</v>
      </c>
      <c r="D45" s="0" t="n">
        <v>200</v>
      </c>
      <c r="E45" s="0" t="n">
        <v>2669.29</v>
      </c>
      <c r="F45" s="6" t="n">
        <v>46063</v>
      </c>
      <c r="G45" s="3" t="s">
        <v>285</v>
      </c>
      <c r="H45" s="6" t="n">
        <v>46066</v>
      </c>
      <c r="I45" s="3" t="s">
        <v>38</v>
      </c>
      <c r="J45" s="3" t="s">
        <v>40</v>
      </c>
      <c r="K45" s="0" t="n">
        <v>3</v>
      </c>
      <c r="L45" s="0" t="n">
        <v>3</v>
      </c>
      <c r="M45" s="4" t="n">
        <f aca="false">E45*K45*L45</f>
        <v>24023.61</v>
      </c>
      <c r="N45" s="4" t="n">
        <f aca="false">M45*1.18</f>
        <v>28347.8598</v>
      </c>
    </row>
    <row r="46" customFormat="false" ht="15" hidden="false" customHeight="false" outlineLevel="0" collapsed="false">
      <c r="A46" s="0" t="s">
        <v>62</v>
      </c>
      <c r="B46" s="6" t="n">
        <v>46066</v>
      </c>
      <c r="C46" s="3" t="s">
        <v>387</v>
      </c>
      <c r="D46" s="0" t="n">
        <v>35</v>
      </c>
      <c r="E46" s="0" t="n">
        <v>2766.37</v>
      </c>
      <c r="F46" s="6" t="n">
        <v>46063</v>
      </c>
      <c r="G46" s="3" t="s">
        <v>390</v>
      </c>
      <c r="H46" s="6" t="n">
        <v>46066</v>
      </c>
      <c r="I46" s="3" t="s">
        <v>392</v>
      </c>
      <c r="J46" s="3" t="s">
        <v>40</v>
      </c>
      <c r="K46" s="0" t="n">
        <v>3</v>
      </c>
      <c r="L46" s="0" t="n">
        <v>3</v>
      </c>
      <c r="M46" s="4" t="n">
        <f aca="false">E46*K46*L46</f>
        <v>24897.33</v>
      </c>
      <c r="N46" s="4" t="n">
        <f aca="false">M46*1.18</f>
        <v>29378.8494</v>
      </c>
    </row>
    <row r="47" customFormat="false" ht="15" hidden="false" customHeight="false" outlineLevel="0" collapsed="false">
      <c r="A47" s="0" t="s">
        <v>62</v>
      </c>
      <c r="B47" s="6" t="n">
        <v>46066</v>
      </c>
      <c r="C47" s="3" t="s">
        <v>393</v>
      </c>
      <c r="D47" s="0" t="n">
        <v>31</v>
      </c>
      <c r="E47" s="0" t="n">
        <v>502.31</v>
      </c>
      <c r="F47" s="6" t="n">
        <v>46065</v>
      </c>
      <c r="G47" s="3" t="s">
        <v>396</v>
      </c>
      <c r="H47" s="6" t="n">
        <v>46066</v>
      </c>
      <c r="I47" s="3" t="s">
        <v>300</v>
      </c>
      <c r="J47" s="3" t="s">
        <v>398</v>
      </c>
      <c r="K47" s="0" t="n">
        <v>12</v>
      </c>
      <c r="L47" s="0" t="n">
        <v>1</v>
      </c>
      <c r="M47" s="4" t="n">
        <f aca="false">E47*K47*L47</f>
        <v>6027.72</v>
      </c>
      <c r="N47" s="4" t="n">
        <f aca="false">M47*1.18</f>
        <v>7112.7096</v>
      </c>
    </row>
    <row r="48" customFormat="false" ht="15" hidden="false" customHeight="false" outlineLevel="0" collapsed="false">
      <c r="A48" s="0" t="s">
        <v>62</v>
      </c>
      <c r="B48" s="6" t="n">
        <v>46066</v>
      </c>
      <c r="C48" s="3" t="s">
        <v>399</v>
      </c>
      <c r="D48" s="0" t="n">
        <v>178</v>
      </c>
      <c r="E48" s="0" t="n">
        <v>860.35</v>
      </c>
      <c r="F48" s="6" t="n">
        <v>46064</v>
      </c>
      <c r="G48" s="3" t="s">
        <v>401</v>
      </c>
      <c r="H48" s="6" t="n">
        <v>46066</v>
      </c>
      <c r="I48" s="3" t="s">
        <v>403</v>
      </c>
      <c r="J48" s="3" t="s">
        <v>90</v>
      </c>
      <c r="K48" s="0" t="n">
        <v>3</v>
      </c>
      <c r="L48" s="0" t="n">
        <v>2</v>
      </c>
      <c r="M48" s="4" t="n">
        <f aca="false">E48*K48*L48</f>
        <v>5162.1</v>
      </c>
      <c r="N48" s="4" t="n">
        <f aca="false">M48*1.18</f>
        <v>6091.278</v>
      </c>
    </row>
    <row r="49" customFormat="false" ht="15" hidden="false" customHeight="false" outlineLevel="0" collapsed="false">
      <c r="A49" s="0" t="s">
        <v>62</v>
      </c>
      <c r="B49" s="6" t="n">
        <v>46066</v>
      </c>
      <c r="C49" s="3" t="s">
        <v>404</v>
      </c>
      <c r="D49" s="0" t="n">
        <v>82</v>
      </c>
      <c r="E49" s="0" t="n">
        <v>2901.73</v>
      </c>
      <c r="F49" s="6" t="n">
        <v>46064</v>
      </c>
      <c r="G49" s="3" t="s">
        <v>407</v>
      </c>
      <c r="H49" s="6" t="n">
        <v>46066</v>
      </c>
      <c r="I49" s="3" t="s">
        <v>409</v>
      </c>
      <c r="J49" s="3" t="s">
        <v>40</v>
      </c>
      <c r="K49" s="0" t="n">
        <v>3</v>
      </c>
      <c r="L49" s="0" t="n">
        <v>4</v>
      </c>
      <c r="M49" s="4" t="n">
        <f aca="false">E49*K49*L49</f>
        <v>34820.76</v>
      </c>
      <c r="N49" s="4" t="n">
        <f aca="false">M49*1.18</f>
        <v>41088.4968</v>
      </c>
    </row>
    <row r="50" customFormat="false" ht="15" hidden="false" customHeight="false" outlineLevel="0" collapsed="false">
      <c r="A50" s="0" t="s">
        <v>62</v>
      </c>
      <c r="B50" s="6" t="n">
        <v>46067</v>
      </c>
      <c r="C50" s="3" t="s">
        <v>426</v>
      </c>
      <c r="D50" s="0" t="n">
        <v>37</v>
      </c>
      <c r="E50" s="0" t="n">
        <v>455.6</v>
      </c>
      <c r="F50" s="6" t="n">
        <v>46065</v>
      </c>
      <c r="G50" s="3" t="s">
        <v>429</v>
      </c>
      <c r="H50" s="6" t="n">
        <v>46067</v>
      </c>
      <c r="I50" s="3" t="s">
        <v>431</v>
      </c>
      <c r="J50" s="3" t="s">
        <v>40</v>
      </c>
      <c r="K50" s="0" t="n">
        <v>3</v>
      </c>
      <c r="L50" s="0" t="n">
        <v>1</v>
      </c>
      <c r="M50" s="4" t="n">
        <f aca="false">E50*K50*L50</f>
        <v>1366.8</v>
      </c>
      <c r="N50" s="4" t="n">
        <f aca="false">M50*1.18</f>
        <v>1612.824</v>
      </c>
    </row>
    <row r="51" customFormat="false" ht="15" hidden="false" customHeight="false" outlineLevel="0" collapsed="false">
      <c r="A51" s="0" t="s">
        <v>29</v>
      </c>
      <c r="B51" s="6" t="n">
        <v>46068</v>
      </c>
      <c r="C51" s="3" t="s">
        <v>442</v>
      </c>
      <c r="D51" s="0" t="n">
        <v>155</v>
      </c>
      <c r="E51" s="0" t="n">
        <v>624.46</v>
      </c>
      <c r="F51" s="6" t="n">
        <v>46066</v>
      </c>
      <c r="G51" s="3" t="s">
        <v>444</v>
      </c>
      <c r="H51" s="6" t="n">
        <v>46068</v>
      </c>
      <c r="I51" s="3" t="s">
        <v>446</v>
      </c>
      <c r="J51" s="3" t="s">
        <v>40</v>
      </c>
      <c r="K51" s="0" t="n">
        <v>3</v>
      </c>
      <c r="L51" s="0" t="n">
        <v>1</v>
      </c>
      <c r="M51" s="4" t="n">
        <f aca="false">E51*K51*L51</f>
        <v>1873.38</v>
      </c>
      <c r="N51" s="4" t="n">
        <f aca="false">M51*1.18</f>
        <v>2210.5884</v>
      </c>
    </row>
    <row r="52" customFormat="false" ht="15" hidden="false" customHeight="false" outlineLevel="0" collapsed="false">
      <c r="A52" s="0" t="s">
        <v>62</v>
      </c>
      <c r="B52" s="6" t="n">
        <v>46068</v>
      </c>
      <c r="C52" s="3" t="s">
        <v>447</v>
      </c>
      <c r="D52" s="0" t="n">
        <v>219</v>
      </c>
      <c r="E52" s="0" t="n">
        <v>3151.5</v>
      </c>
      <c r="F52" s="6" t="n">
        <v>46066</v>
      </c>
      <c r="G52" s="3" t="s">
        <v>450</v>
      </c>
      <c r="H52" s="6" t="n">
        <v>46068</v>
      </c>
      <c r="I52" s="3" t="s">
        <v>38</v>
      </c>
      <c r="J52" s="3" t="s">
        <v>425</v>
      </c>
      <c r="K52" s="0" t="n">
        <v>5</v>
      </c>
      <c r="L52" s="0" t="n">
        <v>2</v>
      </c>
      <c r="M52" s="4" t="n">
        <f aca="false">E52*K52*L52</f>
        <v>31515</v>
      </c>
      <c r="N52" s="4" t="n">
        <f aca="false">M52*1.18</f>
        <v>37187.7</v>
      </c>
    </row>
    <row r="53" customFormat="false" ht="15" hidden="false" customHeight="false" outlineLevel="0" collapsed="false">
      <c r="A53" s="0" t="s">
        <v>62</v>
      </c>
      <c r="B53" s="6" t="n">
        <v>46068</v>
      </c>
      <c r="C53" s="3" t="s">
        <v>458</v>
      </c>
      <c r="D53" s="0" t="n">
        <v>143</v>
      </c>
      <c r="E53" s="0" t="n">
        <v>1663.23</v>
      </c>
      <c r="F53" s="6" t="n">
        <v>46065</v>
      </c>
      <c r="G53" s="3" t="s">
        <v>461</v>
      </c>
      <c r="H53" s="6" t="n">
        <v>46068</v>
      </c>
      <c r="I53" s="3" t="s">
        <v>463</v>
      </c>
      <c r="J53" s="3" t="s">
        <v>40</v>
      </c>
      <c r="K53" s="0" t="n">
        <v>3</v>
      </c>
      <c r="L53" s="0" t="n">
        <v>4</v>
      </c>
      <c r="M53" s="4" t="n">
        <f aca="false">E53*K53*L53</f>
        <v>19958.76</v>
      </c>
      <c r="N53" s="4" t="n">
        <f aca="false">M53*1.18</f>
        <v>23551.3368</v>
      </c>
    </row>
    <row r="54" customFormat="false" ht="15" hidden="false" customHeight="false" outlineLevel="0" collapsed="false">
      <c r="M54" s="7" t="n">
        <f aca="false">SUM(M4:M53)</f>
        <v>575268.71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6"/>
  </cols>
  <sheetData>
    <row r="1" customFormat="false" ht="15" hidden="false" customHeight="false" outlineLevel="0" collapsed="false">
      <c r="A1" s="5" t="s">
        <v>481</v>
      </c>
    </row>
    <row r="2" customFormat="false" ht="15" hidden="false" customHeight="false" outlineLevel="0" collapsed="false">
      <c r="B2" s="0" t="s">
        <v>482</v>
      </c>
    </row>
    <row r="3" customFormat="false" ht="23.85" hidden="false" customHeight="false" outlineLevel="0" collapsed="false">
      <c r="A3" s="1" t="s">
        <v>483</v>
      </c>
      <c r="B3" s="1" t="s">
        <v>1</v>
      </c>
      <c r="C3" s="1" t="s">
        <v>484</v>
      </c>
      <c r="D3" s="1" t="s">
        <v>485</v>
      </c>
      <c r="E3" s="1" t="s">
        <v>486</v>
      </c>
      <c r="F3" s="1" t="s">
        <v>487</v>
      </c>
      <c r="G3" s="1" t="s">
        <v>488</v>
      </c>
      <c r="H3" s="1" t="s">
        <v>477</v>
      </c>
      <c r="I3" s="1" t="s">
        <v>489</v>
      </c>
    </row>
    <row r="4" customFormat="false" ht="15" hidden="false" customHeight="false" outlineLevel="0" collapsed="false">
      <c r="A4" s="0" t="n">
        <v>1</v>
      </c>
      <c r="B4" s="6" t="n">
        <v>46054</v>
      </c>
      <c r="C4" s="3" t="s">
        <v>490</v>
      </c>
      <c r="D4" s="0" t="n">
        <v>159</v>
      </c>
      <c r="E4" s="0" t="n">
        <v>2889.63</v>
      </c>
      <c r="F4" s="4" t="n">
        <f aca="false">E4*2</f>
        <v>5779.26</v>
      </c>
      <c r="G4" s="4" t="n">
        <f aca="false">F4*0.18</f>
        <v>1040.2668</v>
      </c>
      <c r="H4" s="4" t="n">
        <f aca="false">F4+G4</f>
        <v>6819.5268</v>
      </c>
      <c r="I4" s="0" t="n">
        <v>2</v>
      </c>
    </row>
    <row r="5" customFormat="false" ht="15" hidden="false" customHeight="false" outlineLevel="0" collapsed="false">
      <c r="A5" s="0" t="n">
        <v>2</v>
      </c>
      <c r="B5" s="6" t="n">
        <v>46054</v>
      </c>
      <c r="C5" s="3" t="s">
        <v>491</v>
      </c>
      <c r="D5" s="0" t="n">
        <v>134</v>
      </c>
      <c r="E5" s="0" t="n">
        <v>2140.71</v>
      </c>
      <c r="F5" s="4" t="n">
        <f aca="false">E5*2</f>
        <v>4281.42</v>
      </c>
      <c r="G5" s="4" t="n">
        <f aca="false">F5*0.18</f>
        <v>770.6556</v>
      </c>
      <c r="H5" s="4" t="n">
        <f aca="false">F5+G5</f>
        <v>5052.0756</v>
      </c>
      <c r="I5" s="0" t="n">
        <v>2</v>
      </c>
    </row>
    <row r="6" customFormat="false" ht="15" hidden="false" customHeight="false" outlineLevel="0" collapsed="false">
      <c r="A6" s="0" t="n">
        <v>3</v>
      </c>
      <c r="B6" s="6" t="n">
        <v>46055</v>
      </c>
      <c r="C6" s="3" t="s">
        <v>492</v>
      </c>
      <c r="D6" s="0" t="n">
        <v>197</v>
      </c>
      <c r="E6" s="0" t="n">
        <v>276.66</v>
      </c>
      <c r="F6" s="4" t="n">
        <f aca="false">E6*2</f>
        <v>553.32</v>
      </c>
      <c r="G6" s="4" t="n">
        <f aca="false">F6*0.18</f>
        <v>99.5976</v>
      </c>
      <c r="H6" s="4" t="n">
        <f aca="false">F6+G6</f>
        <v>652.9176</v>
      </c>
      <c r="I6" s="0" t="n">
        <v>2</v>
      </c>
    </row>
    <row r="7" customFormat="false" ht="15" hidden="false" customHeight="false" outlineLevel="0" collapsed="false">
      <c r="A7" s="0" t="n">
        <v>4</v>
      </c>
      <c r="B7" s="6" t="n">
        <v>46055</v>
      </c>
      <c r="C7" s="3" t="s">
        <v>493</v>
      </c>
      <c r="D7" s="0" t="n">
        <v>218</v>
      </c>
      <c r="E7" s="0" t="n">
        <v>3365.02</v>
      </c>
      <c r="F7" s="4" t="n">
        <f aca="false">E7*2</f>
        <v>6730.04</v>
      </c>
      <c r="G7" s="4" t="n">
        <f aca="false">F7*0.18</f>
        <v>1211.4072</v>
      </c>
      <c r="H7" s="4" t="n">
        <f aca="false">F7+G7</f>
        <v>7941.4472</v>
      </c>
      <c r="I7" s="0" t="n">
        <v>2</v>
      </c>
    </row>
    <row r="8" customFormat="false" ht="15" hidden="false" customHeight="false" outlineLevel="0" collapsed="false">
      <c r="A8" s="0" t="n">
        <v>5</v>
      </c>
      <c r="B8" s="6" t="n">
        <v>46055</v>
      </c>
      <c r="C8" s="3" t="s">
        <v>494</v>
      </c>
      <c r="D8" s="0" t="n">
        <v>78</v>
      </c>
      <c r="E8" s="0" t="n">
        <v>434.03</v>
      </c>
      <c r="F8" s="4" t="n">
        <f aca="false">E8*2</f>
        <v>868.06</v>
      </c>
      <c r="G8" s="4" t="n">
        <f aca="false">F8*0.18</f>
        <v>156.2508</v>
      </c>
      <c r="H8" s="4" t="n">
        <f aca="false">F8+G8</f>
        <v>1024.3108</v>
      </c>
      <c r="I8" s="0" t="n">
        <v>2</v>
      </c>
    </row>
    <row r="9" customFormat="false" ht="15" hidden="false" customHeight="false" outlineLevel="0" collapsed="false">
      <c r="A9" s="0" t="n">
        <v>6</v>
      </c>
      <c r="B9" s="6" t="n">
        <v>46055</v>
      </c>
      <c r="C9" s="3" t="s">
        <v>495</v>
      </c>
      <c r="D9" s="0" t="n">
        <v>112</v>
      </c>
      <c r="E9" s="0" t="n">
        <v>2967.71</v>
      </c>
      <c r="F9" s="4" t="n">
        <f aca="false">E9*2</f>
        <v>5935.42</v>
      </c>
      <c r="G9" s="4" t="n">
        <f aca="false">F9*0.18</f>
        <v>1068.3756</v>
      </c>
      <c r="H9" s="4" t="n">
        <f aca="false">F9+G9</f>
        <v>7003.7956</v>
      </c>
      <c r="I9" s="0" t="n">
        <v>2</v>
      </c>
    </row>
    <row r="10" customFormat="false" ht="15" hidden="false" customHeight="false" outlineLevel="0" collapsed="false">
      <c r="A10" s="0" t="n">
        <v>7</v>
      </c>
      <c r="B10" s="6" t="n">
        <v>46055</v>
      </c>
      <c r="C10" s="3" t="s">
        <v>496</v>
      </c>
      <c r="D10" s="0" t="n">
        <v>169</v>
      </c>
      <c r="E10" s="0" t="n">
        <v>2090.17</v>
      </c>
      <c r="F10" s="4" t="n">
        <f aca="false">E10*2</f>
        <v>4180.34</v>
      </c>
      <c r="G10" s="4" t="n">
        <f aca="false">F10*0.18</f>
        <v>752.4612</v>
      </c>
      <c r="H10" s="4" t="n">
        <f aca="false">F10+G10</f>
        <v>4932.8012</v>
      </c>
      <c r="I10" s="0" t="n">
        <v>2</v>
      </c>
    </row>
    <row r="11" customFormat="false" ht="15" hidden="false" customHeight="false" outlineLevel="0" collapsed="false">
      <c r="A11" s="0" t="n">
        <v>8</v>
      </c>
      <c r="B11" s="6" t="n">
        <v>46055</v>
      </c>
      <c r="C11" s="3" t="s">
        <v>497</v>
      </c>
      <c r="D11" s="0" t="n">
        <v>66</v>
      </c>
      <c r="E11" s="0" t="n">
        <v>2347.87</v>
      </c>
      <c r="F11" s="4" t="n">
        <f aca="false">E11*2</f>
        <v>4695.74</v>
      </c>
      <c r="G11" s="4" t="n">
        <f aca="false">F11*0.18</f>
        <v>845.2332</v>
      </c>
      <c r="H11" s="4" t="n">
        <f aca="false">F11+G11</f>
        <v>5540.9732</v>
      </c>
      <c r="I11" s="0" t="n">
        <v>2</v>
      </c>
    </row>
    <row r="12" customFormat="false" ht="15" hidden="false" customHeight="false" outlineLevel="0" collapsed="false">
      <c r="A12" s="0" t="n">
        <v>9</v>
      </c>
      <c r="B12" s="6" t="n">
        <v>46056</v>
      </c>
      <c r="C12" s="3" t="s">
        <v>498</v>
      </c>
      <c r="D12" s="0" t="n">
        <v>71</v>
      </c>
      <c r="E12" s="0" t="n">
        <v>3165.39</v>
      </c>
      <c r="F12" s="4" t="n">
        <f aca="false">E12*2</f>
        <v>6330.78</v>
      </c>
      <c r="G12" s="4" t="n">
        <f aca="false">F12*0.18</f>
        <v>1139.5404</v>
      </c>
      <c r="H12" s="4" t="n">
        <f aca="false">F12+G12</f>
        <v>7470.3204</v>
      </c>
      <c r="I12" s="0" t="n">
        <v>2</v>
      </c>
    </row>
    <row r="13" customFormat="false" ht="15" hidden="false" customHeight="false" outlineLevel="0" collapsed="false">
      <c r="A13" s="0" t="n">
        <v>10</v>
      </c>
      <c r="B13" s="6" t="n">
        <v>46056</v>
      </c>
      <c r="C13" s="3" t="s">
        <v>499</v>
      </c>
      <c r="D13" s="0" t="n">
        <v>120</v>
      </c>
      <c r="E13" s="0" t="n">
        <v>2198.09</v>
      </c>
      <c r="F13" s="4" t="n">
        <f aca="false">E13*2</f>
        <v>4396.18</v>
      </c>
      <c r="G13" s="4" t="n">
        <f aca="false">F13*0.18</f>
        <v>791.3124</v>
      </c>
      <c r="H13" s="4" t="n">
        <f aca="false">F13+G13</f>
        <v>5187.4924</v>
      </c>
      <c r="I13" s="0" t="n">
        <v>2</v>
      </c>
    </row>
    <row r="14" customFormat="false" ht="15" hidden="false" customHeight="false" outlineLevel="0" collapsed="false">
      <c r="A14" s="0" t="n">
        <v>11</v>
      </c>
      <c r="B14" s="6" t="n">
        <v>46056</v>
      </c>
      <c r="C14" s="3" t="s">
        <v>500</v>
      </c>
      <c r="D14" s="0" t="n">
        <v>191</v>
      </c>
      <c r="E14" s="0" t="n">
        <v>3007.39</v>
      </c>
      <c r="F14" s="4" t="n">
        <f aca="false">E14*2</f>
        <v>6014.78</v>
      </c>
      <c r="G14" s="4" t="n">
        <f aca="false">F14*0.18</f>
        <v>1082.6604</v>
      </c>
      <c r="H14" s="4" t="n">
        <f aca="false">F14+G14</f>
        <v>7097.4404</v>
      </c>
      <c r="I14" s="0" t="n">
        <v>2</v>
      </c>
    </row>
    <row r="15" customFormat="false" ht="15" hidden="false" customHeight="false" outlineLevel="0" collapsed="false">
      <c r="A15" s="0" t="n">
        <v>12</v>
      </c>
      <c r="B15" s="6" t="n">
        <v>46056</v>
      </c>
      <c r="C15" s="3" t="s">
        <v>501</v>
      </c>
      <c r="D15" s="0" t="n">
        <v>61</v>
      </c>
      <c r="E15" s="0" t="n">
        <v>308.02</v>
      </c>
      <c r="F15" s="4" t="n">
        <f aca="false">E15*2</f>
        <v>616.04</v>
      </c>
      <c r="G15" s="4" t="n">
        <f aca="false">F15*0.18</f>
        <v>110.8872</v>
      </c>
      <c r="H15" s="4" t="n">
        <f aca="false">F15+G15</f>
        <v>726.9272</v>
      </c>
      <c r="I15" s="0" t="n">
        <v>2</v>
      </c>
    </row>
    <row r="16" customFormat="false" ht="15" hidden="false" customHeight="false" outlineLevel="0" collapsed="false">
      <c r="A16" s="0" t="n">
        <v>13</v>
      </c>
      <c r="B16" s="6" t="n">
        <v>46056</v>
      </c>
      <c r="C16" s="3" t="s">
        <v>502</v>
      </c>
      <c r="D16" s="0" t="n">
        <v>141</v>
      </c>
      <c r="E16" s="0" t="n">
        <v>666.36</v>
      </c>
      <c r="F16" s="4" t="n">
        <f aca="false">E16*2</f>
        <v>1332.72</v>
      </c>
      <c r="G16" s="4" t="n">
        <f aca="false">F16*0.18</f>
        <v>239.8896</v>
      </c>
      <c r="H16" s="4" t="n">
        <f aca="false">F16+G16</f>
        <v>1572.6096</v>
      </c>
      <c r="I16" s="0" t="n">
        <v>2</v>
      </c>
    </row>
    <row r="17" customFormat="false" ht="15" hidden="false" customHeight="false" outlineLevel="0" collapsed="false">
      <c r="A17" s="0" t="n">
        <v>14</v>
      </c>
      <c r="B17" s="6" t="n">
        <v>46056</v>
      </c>
      <c r="C17" s="3" t="s">
        <v>503</v>
      </c>
      <c r="D17" s="0" t="n">
        <v>171</v>
      </c>
      <c r="E17" s="0" t="n">
        <v>2432.78</v>
      </c>
      <c r="F17" s="4" t="n">
        <f aca="false">E17*2</f>
        <v>4865.56</v>
      </c>
      <c r="G17" s="4" t="n">
        <f aca="false">F17*0.18</f>
        <v>875.8008</v>
      </c>
      <c r="H17" s="4" t="n">
        <f aca="false">F17+G17</f>
        <v>5741.3608</v>
      </c>
      <c r="I17" s="0" t="n">
        <v>2</v>
      </c>
    </row>
    <row r="18" customFormat="false" ht="15" hidden="false" customHeight="false" outlineLevel="0" collapsed="false">
      <c r="A18" s="0" t="n">
        <v>15</v>
      </c>
      <c r="B18" s="6" t="n">
        <v>46056</v>
      </c>
      <c r="C18" s="3" t="s">
        <v>504</v>
      </c>
      <c r="D18" s="0" t="n">
        <v>26</v>
      </c>
      <c r="E18" s="0" t="n">
        <v>4198.94</v>
      </c>
      <c r="F18" s="4" t="n">
        <f aca="false">E18*2</f>
        <v>8397.88</v>
      </c>
      <c r="G18" s="4" t="n">
        <f aca="false">F18*0.18</f>
        <v>1511.6184</v>
      </c>
      <c r="H18" s="4" t="n">
        <f aca="false">F18+G18</f>
        <v>9909.4984</v>
      </c>
      <c r="I18" s="0" t="n">
        <v>2</v>
      </c>
    </row>
    <row r="19" customFormat="false" ht="15" hidden="false" customHeight="false" outlineLevel="0" collapsed="false">
      <c r="A19" s="0" t="n">
        <v>16</v>
      </c>
      <c r="B19" s="6" t="n">
        <v>46057</v>
      </c>
      <c r="C19" s="3" t="s">
        <v>505</v>
      </c>
      <c r="D19" s="0" t="n">
        <v>19</v>
      </c>
      <c r="E19" s="0" t="n">
        <v>2049.53</v>
      </c>
      <c r="F19" s="4" t="n">
        <f aca="false">E19*2</f>
        <v>4099.06</v>
      </c>
      <c r="G19" s="4" t="n">
        <f aca="false">F19*0.18</f>
        <v>737.8308</v>
      </c>
      <c r="H19" s="4" t="n">
        <f aca="false">F19+G19</f>
        <v>4836.8908</v>
      </c>
      <c r="I19" s="0" t="n">
        <v>2</v>
      </c>
    </row>
    <row r="20" customFormat="false" ht="15" hidden="false" customHeight="false" outlineLevel="0" collapsed="false">
      <c r="A20" s="0" t="n">
        <v>17</v>
      </c>
      <c r="B20" s="6" t="n">
        <v>46057</v>
      </c>
      <c r="C20" s="3" t="s">
        <v>506</v>
      </c>
      <c r="D20" s="0" t="n">
        <v>21</v>
      </c>
      <c r="E20" s="0" t="n">
        <v>1437.22</v>
      </c>
      <c r="F20" s="4" t="n">
        <f aca="false">E20*2</f>
        <v>2874.44</v>
      </c>
      <c r="G20" s="4" t="n">
        <f aca="false">F20*0.18</f>
        <v>517.3992</v>
      </c>
      <c r="H20" s="4" t="n">
        <f aca="false">F20+G20</f>
        <v>3391.8392</v>
      </c>
      <c r="I20" s="0" t="n">
        <v>2</v>
      </c>
    </row>
    <row r="21" customFormat="false" ht="15" hidden="false" customHeight="false" outlineLevel="0" collapsed="false">
      <c r="A21" s="0" t="n">
        <v>18</v>
      </c>
      <c r="B21" s="6" t="n">
        <v>46058</v>
      </c>
      <c r="C21" s="3" t="s">
        <v>507</v>
      </c>
      <c r="D21" s="0" t="n">
        <v>114</v>
      </c>
      <c r="E21" s="0" t="n">
        <v>392.6</v>
      </c>
      <c r="F21" s="4" t="n">
        <f aca="false">E21*2</f>
        <v>785.2</v>
      </c>
      <c r="G21" s="4" t="n">
        <f aca="false">F21*0.18</f>
        <v>141.336</v>
      </c>
      <c r="H21" s="4" t="n">
        <f aca="false">F21+G21</f>
        <v>926.536</v>
      </c>
      <c r="I21" s="0" t="n">
        <v>2</v>
      </c>
    </row>
    <row r="22" customFormat="false" ht="15" hidden="false" customHeight="false" outlineLevel="0" collapsed="false">
      <c r="A22" s="0" t="n">
        <v>19</v>
      </c>
      <c r="B22" s="6" t="n">
        <v>46058</v>
      </c>
      <c r="C22" s="3" t="s">
        <v>508</v>
      </c>
      <c r="D22" s="0" t="n">
        <v>147</v>
      </c>
      <c r="E22" s="0" t="n">
        <v>220.94</v>
      </c>
      <c r="F22" s="4" t="n">
        <f aca="false">E22*2</f>
        <v>441.88</v>
      </c>
      <c r="G22" s="4" t="n">
        <f aca="false">F22*0.18</f>
        <v>79.5384</v>
      </c>
      <c r="H22" s="4" t="n">
        <f aca="false">F22+G22</f>
        <v>521.4184</v>
      </c>
      <c r="I22" s="0" t="n">
        <v>2</v>
      </c>
    </row>
    <row r="23" customFormat="false" ht="15" hidden="false" customHeight="false" outlineLevel="0" collapsed="false">
      <c r="A23" s="0" t="n">
        <v>20</v>
      </c>
      <c r="B23" s="6" t="n">
        <v>46058</v>
      </c>
      <c r="C23" s="3" t="s">
        <v>509</v>
      </c>
      <c r="D23" s="0" t="n">
        <v>203</v>
      </c>
      <c r="E23" s="0" t="n">
        <v>2499.77</v>
      </c>
      <c r="F23" s="4" t="n">
        <f aca="false">E23*2</f>
        <v>4999.54</v>
      </c>
      <c r="G23" s="4" t="n">
        <f aca="false">F23*0.18</f>
        <v>899.9172</v>
      </c>
      <c r="H23" s="4" t="n">
        <f aca="false">F23+G23</f>
        <v>5899.4572</v>
      </c>
      <c r="I23" s="0" t="n">
        <v>2</v>
      </c>
    </row>
    <row r="24" customFormat="false" ht="15" hidden="false" customHeight="false" outlineLevel="0" collapsed="false">
      <c r="A24" s="0" t="n">
        <v>21</v>
      </c>
      <c r="B24" s="6" t="n">
        <v>46059</v>
      </c>
      <c r="C24" s="3" t="s">
        <v>510</v>
      </c>
      <c r="D24" s="0" t="n">
        <v>197</v>
      </c>
      <c r="E24" s="0" t="n">
        <v>918.14</v>
      </c>
      <c r="F24" s="4" t="n">
        <f aca="false">E24*2</f>
        <v>1836.28</v>
      </c>
      <c r="G24" s="4" t="n">
        <f aca="false">F24*0.18</f>
        <v>330.5304</v>
      </c>
      <c r="H24" s="4" t="n">
        <f aca="false">F24+G24</f>
        <v>2166.8104</v>
      </c>
      <c r="I24" s="0" t="n">
        <v>2</v>
      </c>
    </row>
    <row r="25" customFormat="false" ht="15" hidden="false" customHeight="false" outlineLevel="0" collapsed="false">
      <c r="A25" s="0" t="n">
        <v>22</v>
      </c>
      <c r="B25" s="6" t="n">
        <v>46060</v>
      </c>
      <c r="C25" s="3" t="s">
        <v>511</v>
      </c>
      <c r="D25" s="0" t="n">
        <v>93</v>
      </c>
      <c r="E25" s="0" t="n">
        <v>711.25</v>
      </c>
      <c r="F25" s="4" t="n">
        <f aca="false">E25*2</f>
        <v>1422.5</v>
      </c>
      <c r="G25" s="4" t="n">
        <f aca="false">F25*0.18</f>
        <v>256.05</v>
      </c>
      <c r="H25" s="4" t="n">
        <f aca="false">F25+G25</f>
        <v>1678.55</v>
      </c>
      <c r="I25" s="0" t="n">
        <v>2</v>
      </c>
    </row>
    <row r="26" customFormat="false" ht="15" hidden="false" customHeight="false" outlineLevel="0" collapsed="false">
      <c r="A26" s="0" t="n">
        <v>23</v>
      </c>
      <c r="B26" s="6" t="n">
        <v>46060</v>
      </c>
      <c r="C26" s="3" t="s">
        <v>512</v>
      </c>
      <c r="D26" s="0" t="n">
        <v>147</v>
      </c>
      <c r="E26" s="0" t="n">
        <v>2655.41</v>
      </c>
      <c r="F26" s="4" t="n">
        <f aca="false">E26*2</f>
        <v>5310.82</v>
      </c>
      <c r="G26" s="4" t="n">
        <f aca="false">F26*0.18</f>
        <v>955.9476</v>
      </c>
      <c r="H26" s="4" t="n">
        <f aca="false">F26+G26</f>
        <v>6266.7676</v>
      </c>
      <c r="I26" s="0" t="n">
        <v>2</v>
      </c>
    </row>
    <row r="27" customFormat="false" ht="15" hidden="false" customHeight="false" outlineLevel="0" collapsed="false">
      <c r="A27" s="0" t="n">
        <v>24</v>
      </c>
      <c r="B27" s="6" t="n">
        <v>46060</v>
      </c>
      <c r="C27" s="3" t="s">
        <v>513</v>
      </c>
      <c r="D27" s="0" t="n">
        <v>83</v>
      </c>
      <c r="E27" s="0" t="n">
        <v>1406.09</v>
      </c>
      <c r="F27" s="4" t="n">
        <f aca="false">E27*2</f>
        <v>2812.18</v>
      </c>
      <c r="G27" s="4" t="n">
        <f aca="false">F27*0.18</f>
        <v>506.1924</v>
      </c>
      <c r="H27" s="4" t="n">
        <f aca="false">F27+G27</f>
        <v>3318.3724</v>
      </c>
      <c r="I27" s="0" t="n">
        <v>2</v>
      </c>
    </row>
    <row r="28" customFormat="false" ht="15" hidden="false" customHeight="false" outlineLevel="0" collapsed="false">
      <c r="A28" s="0" t="n">
        <v>25</v>
      </c>
      <c r="B28" s="6" t="n">
        <v>46060</v>
      </c>
      <c r="C28" s="3" t="s">
        <v>514</v>
      </c>
      <c r="D28" s="0" t="n">
        <v>154</v>
      </c>
      <c r="E28" s="0" t="n">
        <v>961.29</v>
      </c>
      <c r="F28" s="4" t="n">
        <f aca="false">E28*2</f>
        <v>1922.58</v>
      </c>
      <c r="G28" s="4" t="n">
        <f aca="false">F28*0.18</f>
        <v>346.0644</v>
      </c>
      <c r="H28" s="4" t="n">
        <f aca="false">F28+G28</f>
        <v>2268.6444</v>
      </c>
      <c r="I28" s="0" t="n">
        <v>2</v>
      </c>
    </row>
    <row r="29" customFormat="false" ht="15" hidden="false" customHeight="false" outlineLevel="0" collapsed="false">
      <c r="A29" s="0" t="n">
        <v>26</v>
      </c>
      <c r="B29" s="6" t="n">
        <v>46060</v>
      </c>
      <c r="C29" s="3" t="s">
        <v>515</v>
      </c>
      <c r="D29" s="0" t="n">
        <v>115</v>
      </c>
      <c r="E29" s="0" t="n">
        <v>2461.25</v>
      </c>
      <c r="F29" s="4" t="n">
        <f aca="false">E29*2</f>
        <v>4922.5</v>
      </c>
      <c r="G29" s="4" t="n">
        <f aca="false">F29*0.18</f>
        <v>886.05</v>
      </c>
      <c r="H29" s="4" t="n">
        <f aca="false">F29+G29</f>
        <v>5808.55</v>
      </c>
      <c r="I29" s="0" t="n">
        <v>2</v>
      </c>
    </row>
    <row r="30" customFormat="false" ht="15" hidden="false" customHeight="false" outlineLevel="0" collapsed="false">
      <c r="A30" s="0" t="n">
        <v>27</v>
      </c>
      <c r="B30" s="6" t="n">
        <v>46060</v>
      </c>
      <c r="C30" s="3" t="s">
        <v>516</v>
      </c>
      <c r="D30" s="0" t="n">
        <v>159</v>
      </c>
      <c r="E30" s="0" t="n">
        <v>2526.85</v>
      </c>
      <c r="F30" s="4" t="n">
        <f aca="false">E30*2</f>
        <v>5053.7</v>
      </c>
      <c r="G30" s="4" t="n">
        <f aca="false">F30*0.18</f>
        <v>909.666</v>
      </c>
      <c r="H30" s="4" t="n">
        <f aca="false">F30+G30</f>
        <v>5963.366</v>
      </c>
      <c r="I30" s="0" t="n">
        <v>2</v>
      </c>
    </row>
    <row r="31" customFormat="false" ht="15" hidden="false" customHeight="false" outlineLevel="0" collapsed="false">
      <c r="A31" s="0" t="n">
        <v>28</v>
      </c>
      <c r="B31" s="6" t="n">
        <v>46060</v>
      </c>
      <c r="C31" s="3" t="s">
        <v>517</v>
      </c>
      <c r="D31" s="0" t="n">
        <v>61</v>
      </c>
      <c r="E31" s="0" t="n">
        <v>1386.08</v>
      </c>
      <c r="F31" s="4" t="n">
        <f aca="false">E31*2</f>
        <v>2772.16</v>
      </c>
      <c r="G31" s="4" t="n">
        <f aca="false">F31*0.18</f>
        <v>498.9888</v>
      </c>
      <c r="H31" s="4" t="n">
        <f aca="false">F31+G31</f>
        <v>3271.1488</v>
      </c>
      <c r="I31" s="0" t="n">
        <v>2</v>
      </c>
    </row>
    <row r="32" customFormat="false" ht="15" hidden="false" customHeight="false" outlineLevel="0" collapsed="false">
      <c r="A32" s="0" t="n">
        <v>29</v>
      </c>
      <c r="B32" s="6" t="n">
        <v>46060</v>
      </c>
      <c r="C32" s="3" t="s">
        <v>518</v>
      </c>
      <c r="D32" s="0" t="n">
        <v>160</v>
      </c>
      <c r="E32" s="0" t="n">
        <v>1215.91</v>
      </c>
      <c r="F32" s="4" t="n">
        <f aca="false">E32*2</f>
        <v>2431.82</v>
      </c>
      <c r="G32" s="4" t="n">
        <f aca="false">F32*0.18</f>
        <v>437.7276</v>
      </c>
      <c r="H32" s="4" t="n">
        <f aca="false">F32+G32</f>
        <v>2869.5476</v>
      </c>
      <c r="I32" s="0" t="n">
        <v>2</v>
      </c>
    </row>
    <row r="33" customFormat="false" ht="15" hidden="false" customHeight="false" outlineLevel="0" collapsed="false">
      <c r="A33" s="0" t="n">
        <v>30</v>
      </c>
      <c r="B33" s="6" t="n">
        <v>46060</v>
      </c>
      <c r="C33" s="3" t="s">
        <v>519</v>
      </c>
      <c r="D33" s="0" t="n">
        <v>29</v>
      </c>
      <c r="E33" s="0" t="n">
        <v>1624.04</v>
      </c>
      <c r="F33" s="4" t="n">
        <f aca="false">E33*2</f>
        <v>3248.08</v>
      </c>
      <c r="G33" s="4" t="n">
        <f aca="false">F33*0.18</f>
        <v>584.6544</v>
      </c>
      <c r="H33" s="4" t="n">
        <f aca="false">F33+G33</f>
        <v>3832.7344</v>
      </c>
      <c r="I33" s="0" t="n">
        <v>2</v>
      </c>
    </row>
    <row r="34" customFormat="false" ht="15" hidden="false" customHeight="false" outlineLevel="0" collapsed="false">
      <c r="A34" s="0" t="n">
        <v>31</v>
      </c>
      <c r="B34" s="6" t="n">
        <v>46060</v>
      </c>
      <c r="C34" s="3" t="s">
        <v>520</v>
      </c>
      <c r="D34" s="0" t="n">
        <v>113</v>
      </c>
      <c r="E34" s="0" t="n">
        <v>3023.77</v>
      </c>
      <c r="F34" s="4" t="n">
        <f aca="false">E34*2</f>
        <v>6047.54</v>
      </c>
      <c r="G34" s="4" t="n">
        <f aca="false">F34*0.18</f>
        <v>1088.5572</v>
      </c>
      <c r="H34" s="4" t="n">
        <f aca="false">F34+G34</f>
        <v>7136.0972</v>
      </c>
      <c r="I34" s="0" t="n">
        <v>2</v>
      </c>
    </row>
    <row r="35" customFormat="false" ht="15" hidden="false" customHeight="false" outlineLevel="0" collapsed="false">
      <c r="A35" s="0" t="n">
        <v>32</v>
      </c>
      <c r="B35" s="6" t="n">
        <v>46060</v>
      </c>
      <c r="C35" s="3" t="s">
        <v>521</v>
      </c>
      <c r="D35" s="0" t="n">
        <v>93</v>
      </c>
      <c r="E35" s="0" t="n">
        <v>1037.52</v>
      </c>
      <c r="F35" s="4" t="n">
        <f aca="false">E35*2</f>
        <v>2075.04</v>
      </c>
      <c r="G35" s="4" t="n">
        <f aca="false">F35*0.18</f>
        <v>373.5072</v>
      </c>
      <c r="H35" s="4" t="n">
        <f aca="false">F35+G35</f>
        <v>2448.5472</v>
      </c>
      <c r="I35" s="0" t="n">
        <v>2</v>
      </c>
    </row>
    <row r="36" customFormat="false" ht="15" hidden="false" customHeight="false" outlineLevel="0" collapsed="false">
      <c r="A36" s="0" t="n">
        <v>33</v>
      </c>
      <c r="B36" s="6" t="n">
        <v>46061</v>
      </c>
      <c r="C36" s="3" t="s">
        <v>522</v>
      </c>
      <c r="D36" s="0" t="n">
        <v>76</v>
      </c>
      <c r="E36" s="0" t="n">
        <v>788.66</v>
      </c>
      <c r="F36" s="4" t="n">
        <f aca="false">E36*2</f>
        <v>1577.32</v>
      </c>
      <c r="G36" s="4" t="n">
        <f aca="false">F36*0.18</f>
        <v>283.9176</v>
      </c>
      <c r="H36" s="4" t="n">
        <f aca="false">F36+G36</f>
        <v>1861.2376</v>
      </c>
      <c r="I36" s="0" t="n">
        <v>2</v>
      </c>
    </row>
    <row r="37" customFormat="false" ht="15" hidden="false" customHeight="false" outlineLevel="0" collapsed="false">
      <c r="A37" s="0" t="n">
        <v>34</v>
      </c>
      <c r="B37" s="6" t="n">
        <v>46061</v>
      </c>
      <c r="C37" s="3" t="s">
        <v>523</v>
      </c>
      <c r="D37" s="0" t="n">
        <v>121</v>
      </c>
      <c r="E37" s="0" t="n">
        <v>3341.65</v>
      </c>
      <c r="F37" s="4" t="n">
        <f aca="false">E37*2</f>
        <v>6683.3</v>
      </c>
      <c r="G37" s="4" t="n">
        <f aca="false">F37*0.18</f>
        <v>1202.994</v>
      </c>
      <c r="H37" s="4" t="n">
        <f aca="false">F37+G37</f>
        <v>7886.294</v>
      </c>
      <c r="I37" s="0" t="n">
        <v>2</v>
      </c>
    </row>
    <row r="38" customFormat="false" ht="15" hidden="false" customHeight="false" outlineLevel="0" collapsed="false">
      <c r="A38" s="0" t="n">
        <v>35</v>
      </c>
      <c r="B38" s="6" t="n">
        <v>46061</v>
      </c>
      <c r="C38" s="3" t="s">
        <v>524</v>
      </c>
      <c r="D38" s="0" t="n">
        <v>37</v>
      </c>
      <c r="E38" s="0" t="n">
        <v>1368.54</v>
      </c>
      <c r="F38" s="4" t="n">
        <f aca="false">E38*2</f>
        <v>2737.08</v>
      </c>
      <c r="G38" s="4" t="n">
        <f aca="false">F38*0.18</f>
        <v>492.6744</v>
      </c>
      <c r="H38" s="4" t="n">
        <f aca="false">F38+G38</f>
        <v>3229.7544</v>
      </c>
      <c r="I38" s="0" t="n">
        <v>2</v>
      </c>
    </row>
    <row r="39" customFormat="false" ht="15" hidden="false" customHeight="false" outlineLevel="0" collapsed="false">
      <c r="A39" s="0" t="n">
        <v>36</v>
      </c>
      <c r="B39" s="6" t="n">
        <v>46061</v>
      </c>
      <c r="C39" s="3" t="s">
        <v>525</v>
      </c>
      <c r="D39" s="0" t="n">
        <v>134</v>
      </c>
      <c r="E39" s="0" t="n">
        <v>2083.18</v>
      </c>
      <c r="F39" s="4" t="n">
        <f aca="false">E39*2</f>
        <v>4166.36</v>
      </c>
      <c r="G39" s="4" t="n">
        <f aca="false">F39*0.18</f>
        <v>749.9448</v>
      </c>
      <c r="H39" s="4" t="n">
        <f aca="false">F39+G39</f>
        <v>4916.3048</v>
      </c>
      <c r="I39" s="0" t="n">
        <v>2</v>
      </c>
    </row>
    <row r="40" customFormat="false" ht="15" hidden="false" customHeight="false" outlineLevel="0" collapsed="false">
      <c r="A40" s="0" t="n">
        <v>37</v>
      </c>
      <c r="B40" s="6" t="n">
        <v>46061</v>
      </c>
      <c r="C40" s="3" t="s">
        <v>526</v>
      </c>
      <c r="D40" s="0" t="n">
        <v>17</v>
      </c>
      <c r="E40" s="0" t="n">
        <v>1895.97</v>
      </c>
      <c r="F40" s="4" t="n">
        <f aca="false">E40*2</f>
        <v>3791.94</v>
      </c>
      <c r="G40" s="4" t="n">
        <f aca="false">F40*0.18</f>
        <v>682.5492</v>
      </c>
      <c r="H40" s="4" t="n">
        <f aca="false">F40+G40</f>
        <v>4474.4892</v>
      </c>
      <c r="I40" s="0" t="n">
        <v>2</v>
      </c>
    </row>
    <row r="41" customFormat="false" ht="15" hidden="false" customHeight="false" outlineLevel="0" collapsed="false">
      <c r="A41" s="0" t="n">
        <v>38</v>
      </c>
      <c r="B41" s="6" t="n">
        <v>46062</v>
      </c>
      <c r="C41" s="3" t="s">
        <v>527</v>
      </c>
      <c r="D41" s="0" t="n">
        <v>109</v>
      </c>
      <c r="E41" s="0" t="n">
        <v>578.21</v>
      </c>
      <c r="F41" s="4" t="n">
        <f aca="false">E41*2</f>
        <v>1156.42</v>
      </c>
      <c r="G41" s="4" t="n">
        <f aca="false">F41*0.18</f>
        <v>208.1556</v>
      </c>
      <c r="H41" s="4" t="n">
        <f aca="false">F41+G41</f>
        <v>1364.5756</v>
      </c>
      <c r="I41" s="0" t="n">
        <v>2</v>
      </c>
    </row>
    <row r="42" customFormat="false" ht="15" hidden="false" customHeight="false" outlineLevel="0" collapsed="false">
      <c r="A42" s="0" t="n">
        <v>39</v>
      </c>
      <c r="B42" s="6" t="n">
        <v>46062</v>
      </c>
      <c r="C42" s="3" t="s">
        <v>528</v>
      </c>
      <c r="D42" s="0" t="n">
        <v>139</v>
      </c>
      <c r="E42" s="0" t="n">
        <v>1009.84</v>
      </c>
      <c r="F42" s="4" t="n">
        <f aca="false">E42*2</f>
        <v>2019.68</v>
      </c>
      <c r="G42" s="4" t="n">
        <f aca="false">F42*0.18</f>
        <v>363.5424</v>
      </c>
      <c r="H42" s="4" t="n">
        <f aca="false">F42+G42</f>
        <v>2383.2224</v>
      </c>
      <c r="I42" s="0" t="n">
        <v>2</v>
      </c>
    </row>
    <row r="43" customFormat="false" ht="15" hidden="false" customHeight="false" outlineLevel="0" collapsed="false">
      <c r="A43" s="0" t="n">
        <v>40</v>
      </c>
      <c r="B43" s="6" t="n">
        <v>46062</v>
      </c>
      <c r="C43" s="3" t="s">
        <v>529</v>
      </c>
      <c r="D43" s="0" t="n">
        <v>169</v>
      </c>
      <c r="E43" s="0" t="n">
        <v>2748.21</v>
      </c>
      <c r="F43" s="4" t="n">
        <f aca="false">E43*2</f>
        <v>5496.42</v>
      </c>
      <c r="G43" s="4" t="n">
        <f aca="false">F43*0.18</f>
        <v>989.3556</v>
      </c>
      <c r="H43" s="4" t="n">
        <f aca="false">F43+G43</f>
        <v>6485.7756</v>
      </c>
      <c r="I43" s="0" t="n">
        <v>2</v>
      </c>
    </row>
    <row r="44" customFormat="false" ht="15" hidden="false" customHeight="false" outlineLevel="0" collapsed="false">
      <c r="A44" s="0" t="n">
        <v>41</v>
      </c>
      <c r="B44" s="6" t="n">
        <v>46062</v>
      </c>
      <c r="C44" s="3" t="s">
        <v>530</v>
      </c>
      <c r="D44" s="0" t="n">
        <v>114</v>
      </c>
      <c r="E44" s="0" t="n">
        <v>2836.67</v>
      </c>
      <c r="F44" s="4" t="n">
        <f aca="false">E44*2</f>
        <v>5673.34</v>
      </c>
      <c r="G44" s="4" t="n">
        <f aca="false">F44*0.18</f>
        <v>1021.2012</v>
      </c>
      <c r="H44" s="4" t="n">
        <f aca="false">F44+G44</f>
        <v>6694.5412</v>
      </c>
      <c r="I44" s="0" t="n">
        <v>2</v>
      </c>
    </row>
    <row r="45" customFormat="false" ht="15" hidden="false" customHeight="false" outlineLevel="0" collapsed="false">
      <c r="A45" s="0" t="n">
        <v>42</v>
      </c>
      <c r="B45" s="6" t="n">
        <v>46063</v>
      </c>
      <c r="C45" s="3" t="s">
        <v>531</v>
      </c>
      <c r="D45" s="0" t="n">
        <v>152</v>
      </c>
      <c r="E45" s="0" t="n">
        <v>936.54</v>
      </c>
      <c r="F45" s="4" t="n">
        <f aca="false">E45*2</f>
        <v>1873.08</v>
      </c>
      <c r="G45" s="4" t="n">
        <f aca="false">F45*0.18</f>
        <v>337.1544</v>
      </c>
      <c r="H45" s="4" t="n">
        <f aca="false">F45+G45</f>
        <v>2210.2344</v>
      </c>
      <c r="I45" s="0" t="n">
        <v>2</v>
      </c>
    </row>
    <row r="46" customFormat="false" ht="15" hidden="false" customHeight="false" outlineLevel="0" collapsed="false">
      <c r="A46" s="0" t="n">
        <v>43</v>
      </c>
      <c r="B46" s="6" t="n">
        <v>46063</v>
      </c>
      <c r="C46" s="3" t="s">
        <v>532</v>
      </c>
      <c r="D46" s="0" t="n">
        <v>139</v>
      </c>
      <c r="E46" s="0" t="n">
        <v>345.46</v>
      </c>
      <c r="F46" s="4" t="n">
        <f aca="false">E46*2</f>
        <v>690.92</v>
      </c>
      <c r="G46" s="4" t="n">
        <f aca="false">F46*0.18</f>
        <v>124.3656</v>
      </c>
      <c r="H46" s="4" t="n">
        <f aca="false">F46+G46</f>
        <v>815.2856</v>
      </c>
      <c r="I46" s="0" t="n">
        <v>2</v>
      </c>
    </row>
    <row r="47" customFormat="false" ht="15" hidden="false" customHeight="false" outlineLevel="0" collapsed="false">
      <c r="A47" s="0" t="n">
        <v>44</v>
      </c>
      <c r="B47" s="6" t="n">
        <v>46063</v>
      </c>
      <c r="C47" s="3" t="s">
        <v>533</v>
      </c>
      <c r="D47" s="0" t="n">
        <v>198</v>
      </c>
      <c r="E47" s="0" t="n">
        <v>3689.42</v>
      </c>
      <c r="F47" s="4" t="n">
        <f aca="false">E47*2</f>
        <v>7378.84</v>
      </c>
      <c r="G47" s="4" t="n">
        <f aca="false">F47*0.18</f>
        <v>1328.1912</v>
      </c>
      <c r="H47" s="4" t="n">
        <f aca="false">F47+G47</f>
        <v>8707.0312</v>
      </c>
      <c r="I47" s="0" t="n">
        <v>2</v>
      </c>
    </row>
    <row r="48" customFormat="false" ht="15" hidden="false" customHeight="false" outlineLevel="0" collapsed="false">
      <c r="A48" s="0" t="n">
        <v>45</v>
      </c>
      <c r="B48" s="6" t="n">
        <v>46063</v>
      </c>
      <c r="C48" s="3" t="s">
        <v>534</v>
      </c>
      <c r="D48" s="0" t="n">
        <v>96</v>
      </c>
      <c r="E48" s="0" t="n">
        <v>1009.55</v>
      </c>
      <c r="F48" s="4" t="n">
        <f aca="false">E48*2</f>
        <v>2019.1</v>
      </c>
      <c r="G48" s="4" t="n">
        <f aca="false">F48*0.18</f>
        <v>363.438</v>
      </c>
      <c r="H48" s="4" t="n">
        <f aca="false">F48+G48</f>
        <v>2382.538</v>
      </c>
      <c r="I48" s="0" t="n">
        <v>2</v>
      </c>
    </row>
    <row r="49" customFormat="false" ht="15" hidden="false" customHeight="false" outlineLevel="0" collapsed="false">
      <c r="A49" s="0" t="n">
        <v>46</v>
      </c>
      <c r="B49" s="6" t="n">
        <v>46064</v>
      </c>
      <c r="C49" s="3" t="s">
        <v>535</v>
      </c>
      <c r="D49" s="0" t="n">
        <v>123</v>
      </c>
      <c r="E49" s="0" t="n">
        <v>2417.87</v>
      </c>
      <c r="F49" s="4" t="n">
        <f aca="false">E49*2</f>
        <v>4835.74</v>
      </c>
      <c r="G49" s="4" t="n">
        <f aca="false">F49*0.18</f>
        <v>870.4332</v>
      </c>
      <c r="H49" s="4" t="n">
        <f aca="false">F49+G49</f>
        <v>5706.1732</v>
      </c>
      <c r="I49" s="0" t="n">
        <v>2</v>
      </c>
    </row>
    <row r="50" customFormat="false" ht="15" hidden="false" customHeight="false" outlineLevel="0" collapsed="false">
      <c r="A50" s="0" t="n">
        <v>47</v>
      </c>
      <c r="B50" s="6" t="n">
        <v>46064</v>
      </c>
      <c r="C50" s="3" t="s">
        <v>536</v>
      </c>
      <c r="D50" s="0" t="n">
        <v>174</v>
      </c>
      <c r="E50" s="0" t="n">
        <v>474.1</v>
      </c>
      <c r="F50" s="4" t="n">
        <f aca="false">E50*2</f>
        <v>948.2</v>
      </c>
      <c r="G50" s="4" t="n">
        <f aca="false">F50*0.18</f>
        <v>170.676</v>
      </c>
      <c r="H50" s="4" t="n">
        <f aca="false">F50+G50</f>
        <v>1118.876</v>
      </c>
      <c r="I50" s="0" t="n">
        <v>2</v>
      </c>
    </row>
    <row r="51" customFormat="false" ht="15" hidden="false" customHeight="false" outlineLevel="0" collapsed="false">
      <c r="A51" s="0" t="n">
        <v>48</v>
      </c>
      <c r="B51" s="6" t="n">
        <v>46064</v>
      </c>
      <c r="C51" s="3" t="s">
        <v>537</v>
      </c>
      <c r="D51" s="0" t="n">
        <v>215</v>
      </c>
      <c r="E51" s="0" t="n">
        <v>1305.69</v>
      </c>
      <c r="F51" s="4" t="n">
        <f aca="false">E51*2</f>
        <v>2611.38</v>
      </c>
      <c r="G51" s="4" t="n">
        <f aca="false">F51*0.18</f>
        <v>470.0484</v>
      </c>
      <c r="H51" s="4" t="n">
        <f aca="false">F51+G51</f>
        <v>3081.4284</v>
      </c>
      <c r="I51" s="0" t="n">
        <v>2</v>
      </c>
    </row>
    <row r="52" customFormat="false" ht="15" hidden="false" customHeight="false" outlineLevel="0" collapsed="false">
      <c r="A52" s="0" t="n">
        <v>49</v>
      </c>
      <c r="B52" s="6" t="n">
        <v>46064</v>
      </c>
      <c r="C52" s="3" t="s">
        <v>538</v>
      </c>
      <c r="D52" s="0" t="n">
        <v>210</v>
      </c>
      <c r="E52" s="0" t="n">
        <v>3141.24</v>
      </c>
      <c r="F52" s="4" t="n">
        <f aca="false">E52*2</f>
        <v>6282.48</v>
      </c>
      <c r="G52" s="4" t="n">
        <f aca="false">F52*0.18</f>
        <v>1130.8464</v>
      </c>
      <c r="H52" s="4" t="n">
        <f aca="false">F52+G52</f>
        <v>7413.3264</v>
      </c>
      <c r="I52" s="0" t="n">
        <v>2</v>
      </c>
    </row>
    <row r="53" customFormat="false" ht="15" hidden="false" customHeight="false" outlineLevel="0" collapsed="false">
      <c r="A53" s="0" t="n">
        <v>50</v>
      </c>
      <c r="B53" s="6" t="n">
        <v>46064</v>
      </c>
      <c r="C53" s="3" t="s">
        <v>539</v>
      </c>
      <c r="D53" s="0" t="n">
        <v>210</v>
      </c>
      <c r="E53" s="0" t="n">
        <v>405.09</v>
      </c>
      <c r="F53" s="4" t="n">
        <f aca="false">E53*2</f>
        <v>810.18</v>
      </c>
      <c r="G53" s="4" t="n">
        <f aca="false">F53*0.18</f>
        <v>145.8324</v>
      </c>
      <c r="H53" s="4" t="n">
        <f aca="false">F53+G53</f>
        <v>956.0124</v>
      </c>
      <c r="I53" s="0" t="n">
        <v>2</v>
      </c>
    </row>
    <row r="54" customFormat="false" ht="15" hidden="false" customHeight="false" outlineLevel="0" collapsed="false">
      <c r="A54" s="0" t="n">
        <v>51</v>
      </c>
      <c r="B54" s="6" t="n">
        <v>46065</v>
      </c>
      <c r="C54" s="3" t="s">
        <v>540</v>
      </c>
      <c r="D54" s="0" t="n">
        <v>202</v>
      </c>
      <c r="E54" s="0" t="n">
        <v>753.56</v>
      </c>
      <c r="F54" s="4" t="n">
        <f aca="false">E54*2</f>
        <v>1507.12</v>
      </c>
      <c r="G54" s="4" t="n">
        <f aca="false">F54*0.18</f>
        <v>271.2816</v>
      </c>
      <c r="H54" s="4" t="n">
        <f aca="false">F54+G54</f>
        <v>1778.4016</v>
      </c>
      <c r="I54" s="0" t="n">
        <v>2</v>
      </c>
    </row>
    <row r="55" customFormat="false" ht="15" hidden="false" customHeight="false" outlineLevel="0" collapsed="false">
      <c r="A55" s="0" t="n">
        <v>52</v>
      </c>
      <c r="B55" s="6" t="n">
        <v>46065</v>
      </c>
      <c r="C55" s="3" t="s">
        <v>541</v>
      </c>
      <c r="D55" s="0" t="n">
        <v>22</v>
      </c>
      <c r="E55" s="0" t="n">
        <v>1771.48</v>
      </c>
      <c r="F55" s="4" t="n">
        <f aca="false">E55*2</f>
        <v>3542.96</v>
      </c>
      <c r="G55" s="4" t="n">
        <f aca="false">F55*0.18</f>
        <v>637.7328</v>
      </c>
      <c r="H55" s="4" t="n">
        <f aca="false">F55+G55</f>
        <v>4180.6928</v>
      </c>
      <c r="I55" s="0" t="n">
        <v>2</v>
      </c>
    </row>
    <row r="56" customFormat="false" ht="15" hidden="false" customHeight="false" outlineLevel="0" collapsed="false">
      <c r="A56" s="0" t="n">
        <v>53</v>
      </c>
      <c r="B56" s="6" t="n">
        <v>46065</v>
      </c>
      <c r="C56" s="3" t="s">
        <v>542</v>
      </c>
      <c r="D56" s="0" t="n">
        <v>148</v>
      </c>
      <c r="E56" s="0" t="n">
        <v>1035</v>
      </c>
      <c r="F56" s="4" t="n">
        <f aca="false">E56*2</f>
        <v>2070</v>
      </c>
      <c r="G56" s="4" t="n">
        <f aca="false">F56*0.18</f>
        <v>372.6</v>
      </c>
      <c r="H56" s="4" t="n">
        <f aca="false">F56+G56</f>
        <v>2442.6</v>
      </c>
      <c r="I56" s="0" t="n">
        <v>2</v>
      </c>
    </row>
    <row r="57" customFormat="false" ht="15" hidden="false" customHeight="false" outlineLevel="0" collapsed="false">
      <c r="A57" s="0" t="n">
        <v>54</v>
      </c>
      <c r="B57" s="6" t="n">
        <v>46065</v>
      </c>
      <c r="C57" s="3" t="s">
        <v>543</v>
      </c>
      <c r="D57" s="0" t="n">
        <v>53</v>
      </c>
      <c r="E57" s="0" t="n">
        <v>248.62</v>
      </c>
      <c r="F57" s="4" t="n">
        <f aca="false">E57*2</f>
        <v>497.24</v>
      </c>
      <c r="G57" s="4" t="n">
        <f aca="false">F57*0.18</f>
        <v>89.5032</v>
      </c>
      <c r="H57" s="4" t="n">
        <f aca="false">F57+G57</f>
        <v>586.7432</v>
      </c>
      <c r="I57" s="0" t="n">
        <v>2</v>
      </c>
    </row>
    <row r="58" customFormat="false" ht="15" hidden="false" customHeight="false" outlineLevel="0" collapsed="false">
      <c r="A58" s="0" t="n">
        <v>55</v>
      </c>
      <c r="B58" s="6" t="n">
        <v>46065</v>
      </c>
      <c r="C58" s="3" t="s">
        <v>544</v>
      </c>
      <c r="D58" s="0" t="n">
        <v>50</v>
      </c>
      <c r="E58" s="0" t="n">
        <v>2370.19</v>
      </c>
      <c r="F58" s="4" t="n">
        <f aca="false">E58*2</f>
        <v>4740.38</v>
      </c>
      <c r="G58" s="4" t="n">
        <f aca="false">F58*0.18</f>
        <v>853.2684</v>
      </c>
      <c r="H58" s="4" t="n">
        <f aca="false">F58+G58</f>
        <v>5593.6484</v>
      </c>
      <c r="I58" s="0" t="n">
        <v>2</v>
      </c>
    </row>
    <row r="59" customFormat="false" ht="15" hidden="false" customHeight="false" outlineLevel="0" collapsed="false">
      <c r="A59" s="0" t="n">
        <v>56</v>
      </c>
      <c r="B59" s="6" t="n">
        <v>46065</v>
      </c>
      <c r="C59" s="3" t="s">
        <v>545</v>
      </c>
      <c r="D59" s="0" t="n">
        <v>202</v>
      </c>
      <c r="E59" s="0" t="n">
        <v>2287.26</v>
      </c>
      <c r="F59" s="4" t="n">
        <f aca="false">E59*2</f>
        <v>4574.52</v>
      </c>
      <c r="G59" s="4" t="n">
        <f aca="false">F59*0.18</f>
        <v>823.4136</v>
      </c>
      <c r="H59" s="4" t="n">
        <f aca="false">F59+G59</f>
        <v>5397.9336</v>
      </c>
      <c r="I59" s="0" t="n">
        <v>2</v>
      </c>
    </row>
    <row r="60" customFormat="false" ht="15" hidden="false" customHeight="false" outlineLevel="0" collapsed="false">
      <c r="A60" s="0" t="n">
        <v>57</v>
      </c>
      <c r="B60" s="6" t="n">
        <v>46066</v>
      </c>
      <c r="C60" s="3" t="s">
        <v>546</v>
      </c>
      <c r="D60" s="0" t="n">
        <v>150</v>
      </c>
      <c r="E60" s="0" t="n">
        <v>2845.57</v>
      </c>
      <c r="F60" s="4" t="n">
        <f aca="false">E60*2</f>
        <v>5691.14</v>
      </c>
      <c r="G60" s="4" t="n">
        <f aca="false">F60*0.18</f>
        <v>1024.4052</v>
      </c>
      <c r="H60" s="4" t="n">
        <f aca="false">F60+G60</f>
        <v>6715.5452</v>
      </c>
      <c r="I60" s="0" t="n">
        <v>2</v>
      </c>
    </row>
    <row r="61" customFormat="false" ht="15" hidden="false" customHeight="false" outlineLevel="0" collapsed="false">
      <c r="A61" s="0" t="n">
        <v>58</v>
      </c>
      <c r="B61" s="6" t="n">
        <v>46066</v>
      </c>
      <c r="C61" s="3" t="s">
        <v>547</v>
      </c>
      <c r="D61" s="0" t="n">
        <v>200</v>
      </c>
      <c r="E61" s="0" t="n">
        <v>2669.29</v>
      </c>
      <c r="F61" s="4" t="n">
        <f aca="false">E61*2</f>
        <v>5338.58</v>
      </c>
      <c r="G61" s="4" t="n">
        <f aca="false">F61*0.18</f>
        <v>960.9444</v>
      </c>
      <c r="H61" s="4" t="n">
        <f aca="false">F61+G61</f>
        <v>6299.5244</v>
      </c>
      <c r="I61" s="0" t="n">
        <v>2</v>
      </c>
    </row>
    <row r="62" customFormat="false" ht="15" hidden="false" customHeight="false" outlineLevel="0" collapsed="false">
      <c r="A62" s="0" t="n">
        <v>59</v>
      </c>
      <c r="B62" s="6" t="n">
        <v>46066</v>
      </c>
      <c r="C62" s="3" t="s">
        <v>548</v>
      </c>
      <c r="D62" s="0" t="n">
        <v>35</v>
      </c>
      <c r="E62" s="0" t="n">
        <v>2766.37</v>
      </c>
      <c r="F62" s="4" t="n">
        <f aca="false">E62*2</f>
        <v>5532.74</v>
      </c>
      <c r="G62" s="4" t="n">
        <f aca="false">F62*0.18</f>
        <v>995.8932</v>
      </c>
      <c r="H62" s="4" t="n">
        <f aca="false">F62+G62</f>
        <v>6528.6332</v>
      </c>
      <c r="I62" s="0" t="n">
        <v>2</v>
      </c>
    </row>
    <row r="63" customFormat="false" ht="15" hidden="false" customHeight="false" outlineLevel="0" collapsed="false">
      <c r="A63" s="0" t="n">
        <v>60</v>
      </c>
      <c r="B63" s="6" t="n">
        <v>46066</v>
      </c>
      <c r="C63" s="3" t="s">
        <v>549</v>
      </c>
      <c r="D63" s="0" t="n">
        <v>31</v>
      </c>
      <c r="E63" s="0" t="n">
        <v>502.31</v>
      </c>
      <c r="F63" s="4" t="n">
        <f aca="false">E63*2</f>
        <v>1004.62</v>
      </c>
      <c r="G63" s="4" t="n">
        <f aca="false">F63*0.18</f>
        <v>180.8316</v>
      </c>
      <c r="H63" s="4" t="n">
        <f aca="false">F63+G63</f>
        <v>1185.4516</v>
      </c>
      <c r="I63" s="0" t="n">
        <v>2</v>
      </c>
    </row>
    <row r="64" customFormat="false" ht="15" hidden="false" customHeight="false" outlineLevel="0" collapsed="false">
      <c r="A64" s="0" t="n">
        <v>61</v>
      </c>
      <c r="B64" s="6" t="n">
        <v>46066</v>
      </c>
      <c r="C64" s="3" t="s">
        <v>550</v>
      </c>
      <c r="D64" s="0" t="n">
        <v>178</v>
      </c>
      <c r="E64" s="0" t="n">
        <v>860.35</v>
      </c>
      <c r="F64" s="4" t="n">
        <f aca="false">E64*2</f>
        <v>1720.7</v>
      </c>
      <c r="G64" s="4" t="n">
        <f aca="false">F64*0.18</f>
        <v>309.726</v>
      </c>
      <c r="H64" s="4" t="n">
        <f aca="false">F64+G64</f>
        <v>2030.426</v>
      </c>
      <c r="I64" s="0" t="n">
        <v>2</v>
      </c>
    </row>
    <row r="65" customFormat="false" ht="15" hidden="false" customHeight="false" outlineLevel="0" collapsed="false">
      <c r="A65" s="0" t="n">
        <v>62</v>
      </c>
      <c r="B65" s="6" t="n">
        <v>46066</v>
      </c>
      <c r="C65" s="3" t="s">
        <v>551</v>
      </c>
      <c r="D65" s="0" t="n">
        <v>82</v>
      </c>
      <c r="E65" s="0" t="n">
        <v>2901.73</v>
      </c>
      <c r="F65" s="4" t="n">
        <f aca="false">E65*2</f>
        <v>5803.46</v>
      </c>
      <c r="G65" s="4" t="n">
        <f aca="false">F65*0.18</f>
        <v>1044.6228</v>
      </c>
      <c r="H65" s="4" t="n">
        <f aca="false">F65+G65</f>
        <v>6848.0828</v>
      </c>
      <c r="I65" s="0" t="n">
        <v>2</v>
      </c>
    </row>
    <row r="66" customFormat="false" ht="15" hidden="false" customHeight="false" outlineLevel="0" collapsed="false">
      <c r="A66" s="0" t="n">
        <v>63</v>
      </c>
      <c r="B66" s="6" t="n">
        <v>46067</v>
      </c>
      <c r="C66" s="3" t="s">
        <v>552</v>
      </c>
      <c r="D66" s="0" t="n">
        <v>88</v>
      </c>
      <c r="E66" s="0" t="n">
        <v>2589.03</v>
      </c>
      <c r="F66" s="4" t="n">
        <f aca="false">E66*2</f>
        <v>5178.06</v>
      </c>
      <c r="G66" s="4" t="n">
        <f aca="false">F66*0.18</f>
        <v>932.0508</v>
      </c>
      <c r="H66" s="4" t="n">
        <f aca="false">F66+G66</f>
        <v>6110.1108</v>
      </c>
      <c r="I66" s="0" t="n">
        <v>2</v>
      </c>
    </row>
    <row r="67" customFormat="false" ht="15" hidden="false" customHeight="false" outlineLevel="0" collapsed="false">
      <c r="A67" s="0" t="n">
        <v>64</v>
      </c>
      <c r="B67" s="6" t="n">
        <v>46067</v>
      </c>
      <c r="C67" s="3" t="s">
        <v>553</v>
      </c>
      <c r="D67" s="0" t="n">
        <v>40</v>
      </c>
      <c r="E67" s="0" t="n">
        <v>647.67</v>
      </c>
      <c r="F67" s="4" t="n">
        <f aca="false">E67*2</f>
        <v>1295.34</v>
      </c>
      <c r="G67" s="4" t="n">
        <f aca="false">F67*0.18</f>
        <v>233.1612</v>
      </c>
      <c r="H67" s="4" t="n">
        <f aca="false">F67+G67</f>
        <v>1528.5012</v>
      </c>
      <c r="I67" s="0" t="n">
        <v>2</v>
      </c>
    </row>
    <row r="68" customFormat="false" ht="15" hidden="false" customHeight="false" outlineLevel="0" collapsed="false">
      <c r="A68" s="0" t="n">
        <v>65</v>
      </c>
      <c r="B68" s="6" t="n">
        <v>46067</v>
      </c>
      <c r="C68" s="3" t="s">
        <v>554</v>
      </c>
      <c r="D68" s="0" t="n">
        <v>207</v>
      </c>
      <c r="E68" s="0" t="n">
        <v>1189.63</v>
      </c>
      <c r="F68" s="4" t="n">
        <f aca="false">E68*2</f>
        <v>2379.26</v>
      </c>
      <c r="G68" s="4" t="n">
        <f aca="false">F68*0.18</f>
        <v>428.2668</v>
      </c>
      <c r="H68" s="4" t="n">
        <f aca="false">F68+G68</f>
        <v>2807.5268</v>
      </c>
      <c r="I68" s="0" t="n">
        <v>2</v>
      </c>
    </row>
    <row r="69" customFormat="false" ht="15" hidden="false" customHeight="false" outlineLevel="0" collapsed="false">
      <c r="A69" s="0" t="n">
        <v>66</v>
      </c>
      <c r="B69" s="6" t="n">
        <v>46067</v>
      </c>
      <c r="C69" s="3" t="s">
        <v>555</v>
      </c>
      <c r="D69" s="0" t="n">
        <v>37</v>
      </c>
      <c r="E69" s="0" t="n">
        <v>455.6</v>
      </c>
      <c r="F69" s="4" t="n">
        <f aca="false">E69*2</f>
        <v>911.2</v>
      </c>
      <c r="G69" s="4" t="n">
        <f aca="false">F69*0.18</f>
        <v>164.016</v>
      </c>
      <c r="H69" s="4" t="n">
        <f aca="false">F69+G69</f>
        <v>1075.216</v>
      </c>
      <c r="I69" s="0" t="n">
        <v>2</v>
      </c>
    </row>
    <row r="70" customFormat="false" ht="15" hidden="false" customHeight="false" outlineLevel="0" collapsed="false">
      <c r="A70" s="0" t="n">
        <v>67</v>
      </c>
      <c r="B70" s="6" t="n">
        <v>46068</v>
      </c>
      <c r="C70" s="3" t="s">
        <v>556</v>
      </c>
      <c r="D70" s="0" t="n">
        <v>69</v>
      </c>
      <c r="E70" s="0" t="n">
        <v>1168.71</v>
      </c>
      <c r="F70" s="4" t="n">
        <f aca="false">E70*2</f>
        <v>2337.42</v>
      </c>
      <c r="G70" s="4" t="n">
        <f aca="false">F70*0.18</f>
        <v>420.7356</v>
      </c>
      <c r="H70" s="4" t="n">
        <f aca="false">F70+G70</f>
        <v>2758.1556</v>
      </c>
      <c r="I70" s="0" t="n">
        <v>2</v>
      </c>
    </row>
    <row r="71" customFormat="false" ht="15" hidden="false" customHeight="false" outlineLevel="0" collapsed="false">
      <c r="A71" s="0" t="n">
        <v>68</v>
      </c>
      <c r="B71" s="6" t="n">
        <v>46068</v>
      </c>
      <c r="C71" s="3" t="s">
        <v>557</v>
      </c>
      <c r="D71" s="0" t="n">
        <v>191</v>
      </c>
      <c r="E71" s="0" t="n">
        <v>897.18</v>
      </c>
      <c r="F71" s="4" t="n">
        <f aca="false">E71*2</f>
        <v>1794.36</v>
      </c>
      <c r="G71" s="4" t="n">
        <f aca="false">F71*0.18</f>
        <v>322.9848</v>
      </c>
      <c r="H71" s="4" t="n">
        <f aca="false">F71+G71</f>
        <v>2117.3448</v>
      </c>
      <c r="I71" s="0" t="n">
        <v>2</v>
      </c>
    </row>
    <row r="72" customFormat="false" ht="15" hidden="false" customHeight="false" outlineLevel="0" collapsed="false">
      <c r="A72" s="0" t="n">
        <v>69</v>
      </c>
      <c r="B72" s="6" t="n">
        <v>46068</v>
      </c>
      <c r="C72" s="3" t="s">
        <v>558</v>
      </c>
      <c r="D72" s="0" t="n">
        <v>155</v>
      </c>
      <c r="E72" s="0" t="n">
        <v>624.46</v>
      </c>
      <c r="F72" s="4" t="n">
        <f aca="false">E72*2</f>
        <v>1248.92</v>
      </c>
      <c r="G72" s="4" t="n">
        <f aca="false">F72*0.18</f>
        <v>224.8056</v>
      </c>
      <c r="H72" s="4" t="n">
        <f aca="false">F72+G72</f>
        <v>1473.7256</v>
      </c>
      <c r="I72" s="0" t="n">
        <v>2</v>
      </c>
    </row>
    <row r="73" customFormat="false" ht="15" hidden="false" customHeight="false" outlineLevel="0" collapsed="false">
      <c r="A73" s="0" t="n">
        <v>70</v>
      </c>
      <c r="B73" s="6" t="n">
        <v>46068</v>
      </c>
      <c r="C73" s="3" t="s">
        <v>559</v>
      </c>
      <c r="D73" s="0" t="n">
        <v>219</v>
      </c>
      <c r="E73" s="0" t="n">
        <v>3151.5</v>
      </c>
      <c r="F73" s="4" t="n">
        <f aca="false">E73*2</f>
        <v>6303</v>
      </c>
      <c r="G73" s="4" t="n">
        <f aca="false">F73*0.18</f>
        <v>1134.54</v>
      </c>
      <c r="H73" s="4" t="n">
        <f aca="false">F73+G73</f>
        <v>7437.54</v>
      </c>
      <c r="I73" s="0" t="n">
        <v>2</v>
      </c>
    </row>
    <row r="74" customFormat="false" ht="15" hidden="false" customHeight="false" outlineLevel="0" collapsed="false">
      <c r="A74" s="0" t="n">
        <v>71</v>
      </c>
      <c r="B74" s="6" t="n">
        <v>46068</v>
      </c>
      <c r="C74" s="3" t="s">
        <v>560</v>
      </c>
      <c r="D74" s="0" t="n">
        <v>204</v>
      </c>
      <c r="E74" s="0" t="n">
        <v>2056</v>
      </c>
      <c r="F74" s="4" t="n">
        <f aca="false">E74*2</f>
        <v>4112</v>
      </c>
      <c r="G74" s="4" t="n">
        <f aca="false">F74*0.18</f>
        <v>740.16</v>
      </c>
      <c r="H74" s="4" t="n">
        <f aca="false">F74+G74</f>
        <v>4852.16</v>
      </c>
      <c r="I74" s="0" t="n">
        <v>2</v>
      </c>
    </row>
    <row r="75" customFormat="false" ht="15" hidden="false" customHeight="false" outlineLevel="0" collapsed="false">
      <c r="A75" s="0" t="n">
        <v>72</v>
      </c>
      <c r="B75" s="6" t="n">
        <v>46068</v>
      </c>
      <c r="C75" s="3" t="s">
        <v>561</v>
      </c>
      <c r="D75" s="0" t="n">
        <v>143</v>
      </c>
      <c r="E75" s="0" t="n">
        <v>1663.23</v>
      </c>
      <c r="F75" s="4" t="n">
        <f aca="false">E75*2</f>
        <v>3326.46</v>
      </c>
      <c r="G75" s="4" t="n">
        <f aca="false">F75*0.18</f>
        <v>598.7628</v>
      </c>
      <c r="H75" s="4" t="n">
        <f aca="false">F75+G75</f>
        <v>3925.2228</v>
      </c>
      <c r="I75" s="0" t="n">
        <v>2</v>
      </c>
    </row>
    <row r="76" customFormat="false" ht="15" hidden="false" customHeight="false" outlineLevel="0" collapsed="false">
      <c r="E76" s="7" t="s">
        <v>477</v>
      </c>
      <c r="H76" s="7" t="n">
        <f aca="false">SUM(H4:H75)</f>
        <v>294639.0616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7" min="5" style="0" width="6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5" t="s">
        <v>562</v>
      </c>
    </row>
    <row r="3" customFormat="false" ht="23.85" hidden="false" customHeight="false" outlineLevel="0" collapsed="false">
      <c r="A3" s="1" t="s">
        <v>483</v>
      </c>
      <c r="B3" s="1" t="s">
        <v>563</v>
      </c>
      <c r="C3" s="1" t="s">
        <v>564</v>
      </c>
      <c r="D3" s="1" t="s">
        <v>565</v>
      </c>
      <c r="E3" s="1" t="s">
        <v>4</v>
      </c>
      <c r="F3" s="1" t="s">
        <v>566</v>
      </c>
      <c r="G3" s="1" t="s">
        <v>6</v>
      </c>
      <c r="H3" s="1" t="s">
        <v>567</v>
      </c>
      <c r="I3" s="1" t="s">
        <v>568</v>
      </c>
      <c r="J3" s="1" t="s">
        <v>21</v>
      </c>
      <c r="K3" s="1" t="s">
        <v>489</v>
      </c>
      <c r="L3" s="1" t="s">
        <v>569</v>
      </c>
    </row>
    <row r="4" customFormat="false" ht="15" hidden="false" customHeight="false" outlineLevel="0" collapsed="false">
      <c r="A4" s="0" t="n">
        <v>1</v>
      </c>
      <c r="B4" s="0" t="s">
        <v>30</v>
      </c>
      <c r="C4" s="0" t="s">
        <v>29</v>
      </c>
      <c r="D4" s="6" t="n">
        <v>46054</v>
      </c>
      <c r="E4" s="3" t="s">
        <v>32</v>
      </c>
      <c r="F4" s="3" t="s">
        <v>33</v>
      </c>
      <c r="G4" s="0" t="n">
        <v>159</v>
      </c>
      <c r="H4" s="0" t="n">
        <v>2222.67</v>
      </c>
      <c r="I4" s="0" t="n">
        <v>2889.63</v>
      </c>
      <c r="J4" s="3" t="s">
        <v>40</v>
      </c>
      <c r="K4" s="0" t="n">
        <v>3</v>
      </c>
      <c r="L4" s="4" t="n">
        <f aca="false">I4*K4*1.18</f>
        <v>10229.2902</v>
      </c>
    </row>
    <row r="5" customFormat="false" ht="15" hidden="false" customHeight="false" outlineLevel="0" collapsed="false">
      <c r="A5" s="0" t="n">
        <v>2</v>
      </c>
      <c r="B5" s="0" t="s">
        <v>41</v>
      </c>
      <c r="C5" s="0" t="s">
        <v>29</v>
      </c>
      <c r="D5" s="6" t="n">
        <v>46054</v>
      </c>
      <c r="E5" s="3" t="s">
        <v>32</v>
      </c>
      <c r="F5" s="3" t="s">
        <v>33</v>
      </c>
      <c r="G5" s="0" t="n">
        <v>134</v>
      </c>
      <c r="H5" s="0" t="n">
        <v>1945.7</v>
      </c>
      <c r="I5" s="0" t="n">
        <v>2140.71</v>
      </c>
      <c r="J5" s="3" t="s">
        <v>40</v>
      </c>
      <c r="K5" s="0" t="n">
        <v>3</v>
      </c>
      <c r="L5" s="4" t="n">
        <f aca="false">I5*K5*1.18</f>
        <v>7578.1134</v>
      </c>
    </row>
    <row r="6" customFormat="false" ht="15" hidden="false" customHeight="false" outlineLevel="0" collapsed="false">
      <c r="A6" s="0" t="n">
        <v>3</v>
      </c>
      <c r="B6" s="0" t="s">
        <v>48</v>
      </c>
      <c r="C6" s="0" t="s">
        <v>29</v>
      </c>
      <c r="D6" s="6" t="n">
        <v>46055</v>
      </c>
      <c r="E6" s="3" t="s">
        <v>32</v>
      </c>
      <c r="F6" s="3" t="s">
        <v>33</v>
      </c>
      <c r="G6" s="0" t="n">
        <v>197</v>
      </c>
      <c r="H6" s="0" t="n">
        <v>276.59</v>
      </c>
      <c r="I6" s="0" t="n">
        <v>276.66</v>
      </c>
      <c r="J6" s="3" t="s">
        <v>40</v>
      </c>
      <c r="K6" s="0" t="n">
        <v>3</v>
      </c>
      <c r="L6" s="4" t="n">
        <f aca="false">I6*K6*1.18</f>
        <v>979.3764</v>
      </c>
    </row>
    <row r="7" customFormat="false" ht="15" hidden="false" customHeight="false" outlineLevel="0" collapsed="false">
      <c r="A7" s="0" t="n">
        <v>4</v>
      </c>
      <c r="B7" s="0" t="s">
        <v>55</v>
      </c>
      <c r="C7" s="0" t="s">
        <v>29</v>
      </c>
      <c r="D7" s="6" t="n">
        <v>46055</v>
      </c>
      <c r="E7" s="3" t="s">
        <v>32</v>
      </c>
      <c r="F7" s="3" t="s">
        <v>33</v>
      </c>
      <c r="G7" s="0" t="n">
        <v>218</v>
      </c>
      <c r="H7" s="0" t="n">
        <v>2243.26</v>
      </c>
      <c r="I7" s="0" t="n">
        <v>3365.02</v>
      </c>
      <c r="J7" s="3" t="s">
        <v>40</v>
      </c>
      <c r="K7" s="0" t="n">
        <v>3</v>
      </c>
      <c r="L7" s="4" t="n">
        <f aca="false">I7*K7*1.18</f>
        <v>11912.1708</v>
      </c>
    </row>
    <row r="8" customFormat="false" ht="15" hidden="false" customHeight="false" outlineLevel="0" collapsed="false">
      <c r="A8" s="0" t="n">
        <v>5</v>
      </c>
      <c r="B8" s="0" t="s">
        <v>63</v>
      </c>
      <c r="C8" s="0" t="s">
        <v>62</v>
      </c>
      <c r="D8" s="6" t="n">
        <v>46055</v>
      </c>
      <c r="E8" s="3" t="s">
        <v>32</v>
      </c>
      <c r="F8" s="3" t="s">
        <v>33</v>
      </c>
      <c r="G8" s="0" t="n">
        <v>78</v>
      </c>
      <c r="H8" s="0" t="n">
        <v>433.67</v>
      </c>
      <c r="I8" s="0" t="n">
        <v>434.03</v>
      </c>
      <c r="J8" s="3" t="s">
        <v>40</v>
      </c>
      <c r="K8" s="0" t="n">
        <v>3</v>
      </c>
      <c r="L8" s="4" t="n">
        <f aca="false">I8*K8*1.18</f>
        <v>1536.4662</v>
      </c>
    </row>
    <row r="9" customFormat="false" ht="15" hidden="false" customHeight="false" outlineLevel="0" collapsed="false">
      <c r="A9" s="0" t="n">
        <v>6</v>
      </c>
      <c r="B9" s="0" t="s">
        <v>70</v>
      </c>
      <c r="C9" s="0" t="s">
        <v>62</v>
      </c>
      <c r="D9" s="6" t="n">
        <v>46055</v>
      </c>
      <c r="E9" s="3" t="s">
        <v>32</v>
      </c>
      <c r="F9" s="3" t="s">
        <v>33</v>
      </c>
      <c r="G9" s="0" t="n">
        <v>112</v>
      </c>
      <c r="H9" s="0" t="n">
        <v>2967.48</v>
      </c>
      <c r="I9" s="0" t="n">
        <v>2967.71</v>
      </c>
      <c r="J9" s="3" t="s">
        <v>40</v>
      </c>
      <c r="K9" s="0" t="n">
        <v>3</v>
      </c>
      <c r="L9" s="4" t="n">
        <f aca="false">I9*K9*1.18</f>
        <v>10505.6934</v>
      </c>
    </row>
    <row r="10" customFormat="false" ht="15" hidden="false" customHeight="false" outlineLevel="0" collapsed="false">
      <c r="A10" s="0" t="n">
        <v>7</v>
      </c>
      <c r="B10" s="0" t="s">
        <v>76</v>
      </c>
      <c r="C10" s="0" t="s">
        <v>62</v>
      </c>
      <c r="D10" s="6" t="n">
        <v>46055</v>
      </c>
      <c r="E10" s="3" t="s">
        <v>32</v>
      </c>
      <c r="F10" s="3" t="s">
        <v>33</v>
      </c>
      <c r="G10" s="0" t="n">
        <v>169</v>
      </c>
      <c r="H10" s="0" t="n">
        <v>2089.72</v>
      </c>
      <c r="I10" s="0" t="n">
        <v>2090.17</v>
      </c>
      <c r="J10" s="3" t="s">
        <v>82</v>
      </c>
      <c r="K10" s="0" t="n">
        <v>3</v>
      </c>
      <c r="L10" s="4" t="n">
        <f aca="false">I10*K10*1.18</f>
        <v>7399.2018</v>
      </c>
    </row>
    <row r="11" customFormat="false" ht="15" hidden="false" customHeight="false" outlineLevel="0" collapsed="false">
      <c r="A11" s="0" t="n">
        <v>8</v>
      </c>
      <c r="B11" s="0" t="s">
        <v>83</v>
      </c>
      <c r="C11" s="0" t="s">
        <v>62</v>
      </c>
      <c r="D11" s="6" t="n">
        <v>46055</v>
      </c>
      <c r="E11" s="3" t="s">
        <v>32</v>
      </c>
      <c r="F11" s="3" t="s">
        <v>33</v>
      </c>
      <c r="G11" s="0" t="n">
        <v>66</v>
      </c>
      <c r="H11" s="0" t="n">
        <v>2347.52</v>
      </c>
      <c r="I11" s="0" t="n">
        <v>2347.87</v>
      </c>
      <c r="J11" s="3" t="s">
        <v>90</v>
      </c>
      <c r="K11" s="0" t="n">
        <v>3</v>
      </c>
      <c r="L11" s="4" t="n">
        <f aca="false">I11*K11*1.18</f>
        <v>8311.4598</v>
      </c>
    </row>
    <row r="12" customFormat="false" ht="15" hidden="false" customHeight="false" outlineLevel="0" collapsed="false">
      <c r="A12" s="0" t="n">
        <v>9</v>
      </c>
      <c r="B12" s="0" t="s">
        <v>91</v>
      </c>
      <c r="C12" s="0" t="s">
        <v>29</v>
      </c>
      <c r="D12" s="6" t="n">
        <v>46056</v>
      </c>
      <c r="E12" s="3" t="s">
        <v>32</v>
      </c>
      <c r="F12" s="3" t="s">
        <v>33</v>
      </c>
      <c r="G12" s="0" t="n">
        <v>71</v>
      </c>
      <c r="H12" s="0" t="n">
        <v>2434.63</v>
      </c>
      <c r="I12" s="0" t="n">
        <v>3165.39</v>
      </c>
      <c r="J12" s="3" t="s">
        <v>90</v>
      </c>
      <c r="K12" s="0" t="n">
        <v>3</v>
      </c>
      <c r="L12" s="4" t="n">
        <f aca="false">I12*K12*1.18</f>
        <v>11205.4806</v>
      </c>
    </row>
    <row r="13" customFormat="false" ht="15" hidden="false" customHeight="false" outlineLevel="0" collapsed="false">
      <c r="A13" s="0" t="n">
        <v>10</v>
      </c>
      <c r="B13" s="0" t="s">
        <v>97</v>
      </c>
      <c r="C13" s="0" t="s">
        <v>29</v>
      </c>
      <c r="D13" s="6" t="n">
        <v>46056</v>
      </c>
      <c r="E13" s="3" t="s">
        <v>32</v>
      </c>
      <c r="F13" s="3" t="s">
        <v>33</v>
      </c>
      <c r="G13" s="0" t="n">
        <v>120</v>
      </c>
      <c r="H13" s="0" t="n">
        <v>2198.03</v>
      </c>
      <c r="I13" s="0" t="n">
        <v>2198.09</v>
      </c>
      <c r="J13" s="3" t="s">
        <v>40</v>
      </c>
      <c r="K13" s="0" t="n">
        <v>3</v>
      </c>
      <c r="L13" s="4" t="n">
        <f aca="false">I13*K13*1.18</f>
        <v>7781.2386</v>
      </c>
    </row>
    <row r="14" customFormat="false" ht="15" hidden="false" customHeight="false" outlineLevel="0" collapsed="false">
      <c r="A14" s="0" t="n">
        <v>11</v>
      </c>
      <c r="B14" s="0" t="s">
        <v>103</v>
      </c>
      <c r="C14" s="0" t="s">
        <v>62</v>
      </c>
      <c r="D14" s="6" t="n">
        <v>46056</v>
      </c>
      <c r="E14" s="3" t="s">
        <v>32</v>
      </c>
      <c r="F14" s="3" t="s">
        <v>33</v>
      </c>
      <c r="G14" s="0" t="n">
        <v>191</v>
      </c>
      <c r="H14" s="0" t="n">
        <v>3007.18</v>
      </c>
      <c r="I14" s="0" t="n">
        <v>3007.39</v>
      </c>
      <c r="J14" s="3" t="s">
        <v>40</v>
      </c>
      <c r="K14" s="0" t="n">
        <v>3</v>
      </c>
      <c r="L14" s="4" t="n">
        <f aca="false">I14*K14*1.18</f>
        <v>10646.1606</v>
      </c>
    </row>
    <row r="15" customFormat="false" ht="15" hidden="false" customHeight="false" outlineLevel="0" collapsed="false">
      <c r="A15" s="0" t="n">
        <v>12</v>
      </c>
      <c r="B15" s="0" t="s">
        <v>110</v>
      </c>
      <c r="C15" s="0" t="s">
        <v>62</v>
      </c>
      <c r="D15" s="6" t="n">
        <v>46056</v>
      </c>
      <c r="E15" s="3" t="s">
        <v>32</v>
      </c>
      <c r="F15" s="3" t="s">
        <v>33</v>
      </c>
      <c r="G15" s="0" t="n">
        <v>61</v>
      </c>
      <c r="H15" s="0" t="n">
        <v>279.94</v>
      </c>
      <c r="I15" s="0" t="n">
        <v>308.02</v>
      </c>
      <c r="J15" s="3" t="s">
        <v>40</v>
      </c>
      <c r="K15" s="0" t="n">
        <v>3</v>
      </c>
      <c r="L15" s="4" t="n">
        <f aca="false">I15*K15*1.18</f>
        <v>1090.3908</v>
      </c>
    </row>
    <row r="16" customFormat="false" ht="15" hidden="false" customHeight="false" outlineLevel="0" collapsed="false">
      <c r="A16" s="0" t="n">
        <v>13</v>
      </c>
      <c r="B16" s="0" t="s">
        <v>116</v>
      </c>
      <c r="C16" s="0" t="s">
        <v>62</v>
      </c>
      <c r="D16" s="6" t="n">
        <v>46056</v>
      </c>
      <c r="E16" s="3" t="s">
        <v>32</v>
      </c>
      <c r="F16" s="3" t="s">
        <v>33</v>
      </c>
      <c r="G16" s="0" t="n">
        <v>141</v>
      </c>
      <c r="H16" s="0" t="n">
        <v>512.26</v>
      </c>
      <c r="I16" s="0" t="n">
        <v>666.36</v>
      </c>
      <c r="J16" s="3" t="s">
        <v>40</v>
      </c>
      <c r="K16" s="0" t="n">
        <v>3</v>
      </c>
      <c r="L16" s="4" t="n">
        <f aca="false">I16*K16*1.18</f>
        <v>2358.9144</v>
      </c>
    </row>
    <row r="17" customFormat="false" ht="15" hidden="false" customHeight="false" outlineLevel="0" collapsed="false">
      <c r="A17" s="0" t="n">
        <v>14</v>
      </c>
      <c r="B17" s="0" t="s">
        <v>123</v>
      </c>
      <c r="C17" s="0" t="s">
        <v>62</v>
      </c>
      <c r="D17" s="6" t="n">
        <v>46056</v>
      </c>
      <c r="E17" s="3" t="s">
        <v>32</v>
      </c>
      <c r="F17" s="3" t="s">
        <v>33</v>
      </c>
      <c r="G17" s="0" t="n">
        <v>171</v>
      </c>
      <c r="H17" s="0" t="n">
        <v>2432.67</v>
      </c>
      <c r="I17" s="0" t="n">
        <v>2432.78</v>
      </c>
      <c r="J17" s="3" t="s">
        <v>129</v>
      </c>
      <c r="K17" s="0" t="n">
        <v>3</v>
      </c>
      <c r="L17" s="4" t="n">
        <f aca="false">I17*K17*1.18</f>
        <v>8612.0412</v>
      </c>
    </row>
    <row r="18" customFormat="false" ht="15" hidden="false" customHeight="false" outlineLevel="0" collapsed="false">
      <c r="I18" s="7" t="s">
        <v>570</v>
      </c>
      <c r="L18" s="7" t="n">
        <f aca="false">SUM(L4:L17)</f>
        <v>100145.9982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571</v>
      </c>
    </row>
    <row r="3" customFormat="false" ht="15" hidden="false" customHeight="false" outlineLevel="0" collapsed="false">
      <c r="A3" s="1" t="s">
        <v>572</v>
      </c>
      <c r="B3" s="1" t="s">
        <v>40</v>
      </c>
      <c r="C3" s="1" t="s">
        <v>248</v>
      </c>
      <c r="D3" s="1" t="s">
        <v>573</v>
      </c>
      <c r="E3" s="1" t="s">
        <v>574</v>
      </c>
    </row>
    <row r="4" customFormat="false" ht="15" hidden="false" customHeight="false" outlineLevel="0" collapsed="false">
      <c r="A4" s="0" t="s">
        <v>575</v>
      </c>
      <c r="B4" s="0" t="n">
        <v>3</v>
      </c>
      <c r="C4" s="0" t="n">
        <v>5</v>
      </c>
      <c r="D4" s="0" t="n">
        <v>3.5</v>
      </c>
    </row>
    <row r="5" customFormat="false" ht="15" hidden="false" customHeight="false" outlineLevel="0" collapsed="false">
      <c r="A5" s="0" t="s">
        <v>576</v>
      </c>
      <c r="B5" s="0" t="n">
        <v>2</v>
      </c>
      <c r="C5" s="0" t="n">
        <v>2</v>
      </c>
      <c r="D5" s="0" t="n">
        <v>2</v>
      </c>
      <c r="E5" s="0" t="n">
        <v>2</v>
      </c>
    </row>
    <row r="6" customFormat="false" ht="15" hidden="false" customHeight="false" outlineLevel="0" collapsed="false">
      <c r="A6" s="0" t="s">
        <v>577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578</v>
      </c>
      <c r="B8" s="1" t="s">
        <v>489</v>
      </c>
    </row>
    <row r="9" customFormat="false" ht="15" hidden="false" customHeight="false" outlineLevel="0" collapsed="false">
      <c r="A9" s="0" t="s">
        <v>40</v>
      </c>
      <c r="B9" s="0" t="n">
        <v>3</v>
      </c>
    </row>
    <row r="10" customFormat="false" ht="15" hidden="false" customHeight="false" outlineLevel="0" collapsed="false">
      <c r="A10" s="0" t="s">
        <v>248</v>
      </c>
      <c r="B10" s="0" t="n">
        <v>3</v>
      </c>
    </row>
    <row r="11" customFormat="false" ht="15" hidden="false" customHeight="false" outlineLevel="0" collapsed="false">
      <c r="A11" s="0" t="s">
        <v>90</v>
      </c>
      <c r="B11" s="0" t="n">
        <v>3</v>
      </c>
    </row>
    <row r="12" customFormat="false" ht="15" hidden="false" customHeight="false" outlineLevel="0" collapsed="false">
      <c r="A12" s="0" t="s">
        <v>82</v>
      </c>
      <c r="B12" s="0" t="n">
        <v>5</v>
      </c>
    </row>
    <row r="13" customFormat="false" ht="15" hidden="false" customHeight="false" outlineLevel="0" collapsed="false">
      <c r="A13" s="0" t="s">
        <v>425</v>
      </c>
      <c r="B13" s="0" t="n">
        <v>5</v>
      </c>
    </row>
    <row r="14" customFormat="false" ht="15" hidden="false" customHeight="false" outlineLevel="0" collapsed="false">
      <c r="A14" s="0" t="s">
        <v>398</v>
      </c>
      <c r="B14" s="0" t="n">
        <v>12</v>
      </c>
    </row>
    <row r="15" customFormat="false" ht="15" hidden="false" customHeight="false" outlineLevel="0" collapsed="false">
      <c r="A15" s="0" t="s">
        <v>354</v>
      </c>
      <c r="B15" s="0" t="n">
        <v>12</v>
      </c>
    </row>
    <row r="16" customFormat="false" ht="15" hidden="false" customHeight="false" outlineLevel="0" collapsed="false">
      <c r="A16" s="0" t="s">
        <v>129</v>
      </c>
      <c r="B16" s="0" t="n">
        <v>5</v>
      </c>
    </row>
    <row r="17" customFormat="false" ht="15" hidden="false" customHeight="false" outlineLevel="0" collapsed="false">
      <c r="A17" s="0" t="s">
        <v>579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0" min="1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customFormat="false" ht="15" hidden="false" customHeight="false" outlineLevel="0" collapsed="false">
      <c r="A2" s="0" t="s">
        <v>29</v>
      </c>
      <c r="B2" s="2" t="n">
        <v>46069</v>
      </c>
      <c r="C2" s="3" t="s">
        <v>580</v>
      </c>
      <c r="D2" s="3" t="s">
        <v>31</v>
      </c>
      <c r="E2" s="3" t="s">
        <v>32</v>
      </c>
      <c r="F2" s="3" t="s">
        <v>33</v>
      </c>
      <c r="G2" s="0" t="n">
        <v>198</v>
      </c>
      <c r="H2" s="0" t="n">
        <v>722.1</v>
      </c>
      <c r="I2" s="0" t="n">
        <v>938.88</v>
      </c>
      <c r="J2" s="2" t="n">
        <v>46066</v>
      </c>
      <c r="K2" s="3" t="s">
        <v>581</v>
      </c>
      <c r="L2" s="2" t="n">
        <v>46066</v>
      </c>
      <c r="M2" s="3" t="s">
        <v>582</v>
      </c>
      <c r="N2" s="2" t="n">
        <v>46066</v>
      </c>
      <c r="O2" s="3" t="s">
        <v>583</v>
      </c>
      <c r="P2" s="3" t="s">
        <v>584</v>
      </c>
      <c r="Q2" s="2" t="n">
        <v>46069</v>
      </c>
      <c r="R2" s="3" t="s">
        <v>585</v>
      </c>
      <c r="S2" s="3" t="s">
        <v>142</v>
      </c>
      <c r="T2" s="3" t="s">
        <v>129</v>
      </c>
      <c r="U2" s="3" t="s">
        <v>129</v>
      </c>
      <c r="V2" s="3" t="s">
        <v>129</v>
      </c>
      <c r="X2" s="0" t="n">
        <v>1.5</v>
      </c>
      <c r="Y2" s="0" t="n">
        <v>0.8922</v>
      </c>
      <c r="Z2" s="0" t="n">
        <v>-1</v>
      </c>
      <c r="AA2" s="0" t="n">
        <v>5</v>
      </c>
      <c r="AB2" s="4" t="n">
        <f aca="false">I2*AA2*Z2</f>
        <v>-4694.4</v>
      </c>
      <c r="AC2" s="4" t="n">
        <f aca="false">AB2*1.18</f>
        <v>-5539.392</v>
      </c>
      <c r="AD2" s="0" t="n">
        <v>0</v>
      </c>
    </row>
    <row r="3" customFormat="false" ht="15" hidden="false" customHeight="false" outlineLevel="0" collapsed="false">
      <c r="A3" s="0" t="s">
        <v>29</v>
      </c>
      <c r="B3" s="2" t="n">
        <v>46069</v>
      </c>
      <c r="C3" s="3" t="s">
        <v>586</v>
      </c>
      <c r="D3" s="3" t="s">
        <v>84</v>
      </c>
      <c r="E3" s="3" t="s">
        <v>32</v>
      </c>
      <c r="F3" s="3" t="s">
        <v>33</v>
      </c>
      <c r="G3" s="0" t="n">
        <v>6</v>
      </c>
      <c r="H3" s="0" t="n">
        <v>2047.45</v>
      </c>
      <c r="I3" s="0" t="n">
        <v>2047.63</v>
      </c>
      <c r="J3" s="2" t="n">
        <v>46068</v>
      </c>
      <c r="K3" s="3" t="s">
        <v>587</v>
      </c>
      <c r="L3" s="2" t="n">
        <v>46068</v>
      </c>
      <c r="M3" s="3" t="s">
        <v>368</v>
      </c>
      <c r="N3" s="2" t="n">
        <v>46068</v>
      </c>
      <c r="O3" s="3" t="s">
        <v>588</v>
      </c>
      <c r="P3" s="3" t="s">
        <v>589</v>
      </c>
      <c r="Q3" s="2" t="n">
        <v>46069</v>
      </c>
      <c r="R3" s="3" t="s">
        <v>590</v>
      </c>
      <c r="S3" s="3" t="s">
        <v>122</v>
      </c>
      <c r="T3" s="3" t="s">
        <v>248</v>
      </c>
      <c r="U3" s="3" t="s">
        <v>248</v>
      </c>
      <c r="V3" s="3" t="s">
        <v>248</v>
      </c>
      <c r="X3" s="0" t="n">
        <v>1.5</v>
      </c>
      <c r="Y3" s="0" t="n">
        <v>0.242</v>
      </c>
      <c r="Z3" s="0" t="n">
        <v>-1</v>
      </c>
      <c r="AA3" s="0" t="n">
        <v>3</v>
      </c>
      <c r="AB3" s="4" t="n">
        <f aca="false">I3*AA3*Z3</f>
        <v>-6142.89</v>
      </c>
      <c r="AC3" s="4" t="n">
        <f aca="false">AB3*1.18</f>
        <v>-7248.6102</v>
      </c>
      <c r="AD3" s="0" t="n">
        <v>0</v>
      </c>
    </row>
    <row r="4" customFormat="false" ht="15" hidden="false" customHeight="false" outlineLevel="0" collapsed="false">
      <c r="A4" s="0" t="s">
        <v>29</v>
      </c>
      <c r="B4" s="2" t="n">
        <v>46069</v>
      </c>
      <c r="C4" s="3" t="s">
        <v>591</v>
      </c>
      <c r="D4" s="3" t="s">
        <v>31</v>
      </c>
      <c r="E4" s="3" t="s">
        <v>32</v>
      </c>
      <c r="F4" s="3" t="s">
        <v>33</v>
      </c>
      <c r="G4" s="0" t="n">
        <v>162</v>
      </c>
      <c r="H4" s="0" t="n">
        <v>970.75</v>
      </c>
      <c r="I4" s="0" t="n">
        <v>970.93</v>
      </c>
      <c r="J4" s="2" t="n">
        <v>46068</v>
      </c>
      <c r="K4" s="3" t="s">
        <v>435</v>
      </c>
      <c r="L4" s="2" t="n">
        <v>46068</v>
      </c>
      <c r="M4" s="3" t="s">
        <v>592</v>
      </c>
      <c r="N4" s="2" t="n">
        <v>46069</v>
      </c>
      <c r="O4" s="3" t="s">
        <v>593</v>
      </c>
      <c r="P4" s="3" t="s">
        <v>594</v>
      </c>
      <c r="Q4" s="2" t="n">
        <v>46069</v>
      </c>
      <c r="R4" s="3" t="s">
        <v>595</v>
      </c>
      <c r="S4" s="3" t="s">
        <v>155</v>
      </c>
      <c r="T4" s="3" t="s">
        <v>40</v>
      </c>
      <c r="U4" s="3" t="s">
        <v>40</v>
      </c>
      <c r="V4" s="3" t="s">
        <v>40</v>
      </c>
      <c r="X4" s="0" t="n">
        <v>1.5</v>
      </c>
      <c r="Y4" s="0" t="n">
        <v>3.6909</v>
      </c>
      <c r="Z4" s="0" t="n">
        <v>2</v>
      </c>
      <c r="AA4" s="0" t="n">
        <v>3</v>
      </c>
      <c r="AB4" s="4" t="n">
        <f aca="false">I4*AA4*Z4</f>
        <v>5825.58</v>
      </c>
      <c r="AC4" s="4" t="n">
        <f aca="false">AB4*1.18</f>
        <v>6874.1844</v>
      </c>
      <c r="AD4" s="0" t="n">
        <v>0</v>
      </c>
    </row>
    <row r="5" customFormat="false" ht="15" hidden="false" customHeight="false" outlineLevel="0" collapsed="false">
      <c r="A5" s="0" t="s">
        <v>29</v>
      </c>
      <c r="B5" s="2" t="n">
        <v>46069</v>
      </c>
      <c r="C5" s="3" t="s">
        <v>596</v>
      </c>
      <c r="D5" s="3" t="s">
        <v>31</v>
      </c>
      <c r="E5" s="3" t="s">
        <v>32</v>
      </c>
      <c r="F5" s="3" t="s">
        <v>33</v>
      </c>
      <c r="G5" s="0" t="n">
        <v>32</v>
      </c>
      <c r="H5" s="0" t="n">
        <v>2160.33</v>
      </c>
      <c r="I5" s="0" t="n">
        <v>2160.66</v>
      </c>
      <c r="J5" s="2" t="n">
        <v>46067</v>
      </c>
      <c r="K5" s="3" t="s">
        <v>597</v>
      </c>
      <c r="L5" s="2" t="n">
        <v>46068</v>
      </c>
      <c r="M5" s="3" t="s">
        <v>598</v>
      </c>
      <c r="N5" s="2" t="n">
        <v>46067</v>
      </c>
      <c r="O5" s="3" t="s">
        <v>599</v>
      </c>
      <c r="P5" s="3" t="s">
        <v>600</v>
      </c>
      <c r="Q5" s="2" t="n">
        <v>46069</v>
      </c>
      <c r="R5" s="3" t="s">
        <v>601</v>
      </c>
      <c r="S5" s="3" t="s">
        <v>54</v>
      </c>
      <c r="T5" s="3" t="s">
        <v>40</v>
      </c>
      <c r="U5" s="3" t="s">
        <v>40</v>
      </c>
      <c r="V5" s="3" t="s">
        <v>40</v>
      </c>
      <c r="X5" s="0" t="n">
        <v>1.5</v>
      </c>
      <c r="Y5" s="0" t="n">
        <v>1.373</v>
      </c>
      <c r="Z5" s="0" t="n">
        <v>-1</v>
      </c>
      <c r="AA5" s="0" t="n">
        <v>3</v>
      </c>
      <c r="AB5" s="4" t="n">
        <f aca="false">I5*AA5*Z5</f>
        <v>-6481.98</v>
      </c>
      <c r="AC5" s="4" t="n">
        <f aca="false">AB5*1.18</f>
        <v>-7648.7364</v>
      </c>
      <c r="AD5" s="0" t="n">
        <v>0</v>
      </c>
    </row>
    <row r="6" customFormat="false" ht="15" hidden="false" customHeight="false" outlineLevel="0" collapsed="false">
      <c r="A6" s="0" t="s">
        <v>29</v>
      </c>
      <c r="B6" s="2" t="n">
        <v>46069</v>
      </c>
      <c r="C6" s="3" t="s">
        <v>602</v>
      </c>
      <c r="D6" s="3" t="s">
        <v>31</v>
      </c>
      <c r="E6" s="3" t="s">
        <v>32</v>
      </c>
      <c r="F6" s="3" t="s">
        <v>33</v>
      </c>
      <c r="G6" s="0" t="n">
        <v>158</v>
      </c>
      <c r="H6" s="0" t="n">
        <v>2633.1</v>
      </c>
      <c r="I6" s="0" t="n">
        <v>2633.5</v>
      </c>
      <c r="J6" s="2" t="n">
        <v>46067</v>
      </c>
      <c r="K6" s="3" t="s">
        <v>603</v>
      </c>
      <c r="L6" s="2" t="n">
        <v>46067</v>
      </c>
      <c r="M6" s="3" t="s">
        <v>216</v>
      </c>
      <c r="N6" s="2" t="n">
        <v>46067</v>
      </c>
      <c r="O6" s="3" t="s">
        <v>604</v>
      </c>
      <c r="P6" s="3" t="s">
        <v>605</v>
      </c>
      <c r="Q6" s="2" t="n">
        <v>46069</v>
      </c>
      <c r="R6" s="3" t="s">
        <v>606</v>
      </c>
      <c r="S6" s="3" t="s">
        <v>122</v>
      </c>
      <c r="T6" s="3" t="s">
        <v>82</v>
      </c>
      <c r="U6" s="3" t="s">
        <v>82</v>
      </c>
      <c r="V6" s="3" t="s">
        <v>82</v>
      </c>
      <c r="X6" s="0" t="n">
        <v>1.5</v>
      </c>
      <c r="Y6" s="0" t="n">
        <v>5.0176</v>
      </c>
      <c r="Z6" s="0" t="n">
        <v>4</v>
      </c>
      <c r="AA6" s="0" t="n">
        <v>5</v>
      </c>
      <c r="AB6" s="4" t="n">
        <f aca="false">I6*AA6*Z6</f>
        <v>52670</v>
      </c>
      <c r="AC6" s="4" t="n">
        <f aca="false">AB6*1.18</f>
        <v>62150.6</v>
      </c>
      <c r="AD6" s="0" t="n">
        <v>0</v>
      </c>
    </row>
    <row r="7" customFormat="false" ht="15" hidden="false" customHeight="false" outlineLevel="0" collapsed="false">
      <c r="A7" s="0" t="s">
        <v>62</v>
      </c>
      <c r="B7" s="2" t="n">
        <v>46069</v>
      </c>
      <c r="C7" s="3" t="s">
        <v>607</v>
      </c>
      <c r="D7" s="3" t="s">
        <v>31</v>
      </c>
      <c r="E7" s="3" t="s">
        <v>32</v>
      </c>
      <c r="F7" s="3" t="s">
        <v>33</v>
      </c>
      <c r="G7" s="0" t="n">
        <v>172</v>
      </c>
      <c r="H7" s="0" t="n">
        <v>2682.5</v>
      </c>
      <c r="I7" s="0" t="n">
        <v>2682.7</v>
      </c>
      <c r="J7" s="2" t="n">
        <v>46066</v>
      </c>
      <c r="K7" s="3" t="s">
        <v>608</v>
      </c>
      <c r="L7" s="2" t="n">
        <v>46066</v>
      </c>
      <c r="M7" s="3" t="s">
        <v>609</v>
      </c>
      <c r="N7" s="2" t="n">
        <v>46067</v>
      </c>
      <c r="O7" s="3" t="s">
        <v>610</v>
      </c>
      <c r="P7" s="3" t="s">
        <v>611</v>
      </c>
      <c r="Q7" s="2" t="n">
        <v>46069</v>
      </c>
      <c r="R7" s="3" t="s">
        <v>612</v>
      </c>
      <c r="S7" s="3" t="s">
        <v>39</v>
      </c>
      <c r="T7" s="3" t="s">
        <v>40</v>
      </c>
      <c r="U7" s="3" t="s">
        <v>40</v>
      </c>
      <c r="V7" s="3" t="s">
        <v>40</v>
      </c>
      <c r="X7" s="0" t="n">
        <v>1.5</v>
      </c>
      <c r="Y7" s="0" t="n">
        <v>1.5252</v>
      </c>
      <c r="Z7" s="0" t="n">
        <v>1</v>
      </c>
      <c r="AA7" s="0" t="n">
        <v>3</v>
      </c>
      <c r="AB7" s="4" t="n">
        <f aca="false">I7*AA7*Z7</f>
        <v>8048.1</v>
      </c>
      <c r="AC7" s="4" t="n">
        <f aca="false">AB7*1.18</f>
        <v>9496.758</v>
      </c>
      <c r="AD7" s="0" t="n">
        <v>0</v>
      </c>
    </row>
    <row r="8" customFormat="false" ht="15" hidden="false" customHeight="false" outlineLevel="0" collapsed="false">
      <c r="A8" s="0" t="s">
        <v>29</v>
      </c>
      <c r="B8" s="2" t="n">
        <v>46070</v>
      </c>
      <c r="C8" s="3" t="s">
        <v>613</v>
      </c>
      <c r="D8" s="3" t="s">
        <v>84</v>
      </c>
      <c r="E8" s="3" t="s">
        <v>32</v>
      </c>
      <c r="F8" s="3" t="s">
        <v>33</v>
      </c>
      <c r="G8" s="0" t="n">
        <v>37</v>
      </c>
      <c r="H8" s="0" t="n">
        <v>2463.02</v>
      </c>
      <c r="I8" s="0" t="n">
        <v>2463.05</v>
      </c>
      <c r="J8" s="2" t="n">
        <v>46067</v>
      </c>
      <c r="K8" s="3" t="s">
        <v>439</v>
      </c>
      <c r="L8" s="2" t="n">
        <v>46067</v>
      </c>
      <c r="M8" s="3" t="s">
        <v>614</v>
      </c>
      <c r="N8" s="2" t="n">
        <v>46067</v>
      </c>
      <c r="O8" s="3" t="s">
        <v>615</v>
      </c>
      <c r="P8" s="3" t="s">
        <v>616</v>
      </c>
      <c r="Q8" s="2" t="n">
        <v>46070</v>
      </c>
      <c r="R8" s="3" t="s">
        <v>617</v>
      </c>
      <c r="S8" s="3" t="s">
        <v>142</v>
      </c>
      <c r="T8" s="3" t="s">
        <v>40</v>
      </c>
      <c r="U8" s="3" t="s">
        <v>40</v>
      </c>
      <c r="V8" s="3" t="s">
        <v>40</v>
      </c>
      <c r="X8" s="0" t="n">
        <v>1.5</v>
      </c>
      <c r="Y8" s="0" t="n">
        <v>4.3632</v>
      </c>
      <c r="Z8" s="0" t="n">
        <v>3</v>
      </c>
      <c r="AA8" s="0" t="n">
        <v>3</v>
      </c>
      <c r="AB8" s="4" t="n">
        <f aca="false">I8*AA8*Z8</f>
        <v>22167.45</v>
      </c>
      <c r="AC8" s="4" t="n">
        <f aca="false">AB8*1.18</f>
        <v>26157.591</v>
      </c>
      <c r="AD8" s="0" t="n">
        <v>0</v>
      </c>
    </row>
    <row r="9" customFormat="false" ht="15" hidden="false" customHeight="false" outlineLevel="0" collapsed="false">
      <c r="A9" s="0" t="s">
        <v>29</v>
      </c>
      <c r="B9" s="2" t="n">
        <v>46070</v>
      </c>
      <c r="C9" s="3" t="s">
        <v>618</v>
      </c>
      <c r="D9" s="3" t="s">
        <v>84</v>
      </c>
      <c r="E9" s="3" t="s">
        <v>32</v>
      </c>
      <c r="F9" s="3" t="s">
        <v>33</v>
      </c>
      <c r="G9" s="0" t="n">
        <v>133</v>
      </c>
      <c r="H9" s="0" t="n">
        <v>1871.93</v>
      </c>
      <c r="I9" s="0" t="n">
        <v>2433.76</v>
      </c>
      <c r="J9" s="2" t="n">
        <v>46068</v>
      </c>
      <c r="K9" s="3" t="s">
        <v>138</v>
      </c>
      <c r="L9" s="2" t="n">
        <v>46068</v>
      </c>
      <c r="M9" s="3" t="s">
        <v>619</v>
      </c>
      <c r="N9" s="2" t="n">
        <v>46068</v>
      </c>
      <c r="O9" s="3" t="s">
        <v>620</v>
      </c>
      <c r="P9" s="3" t="s">
        <v>621</v>
      </c>
      <c r="Q9" s="2" t="n">
        <v>46070</v>
      </c>
      <c r="R9" s="3" t="s">
        <v>622</v>
      </c>
      <c r="S9" s="3" t="s">
        <v>261</v>
      </c>
      <c r="T9" s="3" t="s">
        <v>129</v>
      </c>
      <c r="U9" s="3" t="s">
        <v>129</v>
      </c>
      <c r="V9" s="3" t="s">
        <v>129</v>
      </c>
      <c r="X9" s="0" t="n">
        <v>1.5</v>
      </c>
      <c r="Y9" s="0" t="n">
        <v>5.0228</v>
      </c>
      <c r="Z9" s="0" t="n">
        <v>4</v>
      </c>
      <c r="AA9" s="0" t="n">
        <v>5</v>
      </c>
      <c r="AB9" s="4" t="n">
        <f aca="false">I9*AA9*Z9</f>
        <v>48675.2</v>
      </c>
      <c r="AC9" s="4" t="n">
        <f aca="false">AB9*1.18</f>
        <v>57436.736</v>
      </c>
      <c r="AD9" s="0" t="n">
        <v>0</v>
      </c>
    </row>
    <row r="10" customFormat="false" ht="15" hidden="false" customHeight="false" outlineLevel="0" collapsed="false">
      <c r="A10" s="0" t="s">
        <v>29</v>
      </c>
      <c r="B10" s="2" t="n">
        <v>46070</v>
      </c>
      <c r="C10" s="3" t="s">
        <v>623</v>
      </c>
      <c r="D10" s="3" t="s">
        <v>31</v>
      </c>
      <c r="E10" s="3" t="s">
        <v>32</v>
      </c>
      <c r="F10" s="3" t="s">
        <v>33</v>
      </c>
      <c r="G10" s="0" t="n">
        <v>201</v>
      </c>
      <c r="H10" s="0" t="n">
        <v>1232.54</v>
      </c>
      <c r="I10" s="0" t="n">
        <v>1232.75</v>
      </c>
      <c r="J10" s="2" t="n">
        <v>46068</v>
      </c>
      <c r="K10" s="3" t="s">
        <v>624</v>
      </c>
      <c r="L10" s="2" t="n">
        <v>46068</v>
      </c>
      <c r="M10" s="3" t="s">
        <v>443</v>
      </c>
      <c r="N10" s="2" t="n">
        <v>46068</v>
      </c>
      <c r="O10" s="3" t="s">
        <v>75</v>
      </c>
      <c r="P10" s="3" t="s">
        <v>625</v>
      </c>
      <c r="Q10" s="2" t="n">
        <v>46070</v>
      </c>
      <c r="R10" s="3" t="s">
        <v>626</v>
      </c>
      <c r="S10" s="3" t="s">
        <v>304</v>
      </c>
      <c r="T10" s="3" t="s">
        <v>40</v>
      </c>
      <c r="U10" s="3" t="s">
        <v>40</v>
      </c>
      <c r="V10" s="3" t="s">
        <v>40</v>
      </c>
      <c r="X10" s="0" t="n">
        <v>1.5</v>
      </c>
      <c r="Y10" s="0" t="n">
        <v>0.6586</v>
      </c>
      <c r="Z10" s="0" t="n">
        <v>-1</v>
      </c>
      <c r="AA10" s="0" t="n">
        <v>3</v>
      </c>
      <c r="AB10" s="4" t="n">
        <f aca="false">I10*AA10*Z10</f>
        <v>-3698.25</v>
      </c>
      <c r="AC10" s="4" t="n">
        <f aca="false">AB10*1.18</f>
        <v>-4363.935</v>
      </c>
      <c r="AD10" s="0" t="n">
        <v>0</v>
      </c>
    </row>
    <row r="11" customFormat="false" ht="15" hidden="false" customHeight="false" outlineLevel="0" collapsed="false">
      <c r="A11" s="0" t="s">
        <v>29</v>
      </c>
      <c r="B11" s="2" t="n">
        <v>46070</v>
      </c>
      <c r="C11" s="3" t="s">
        <v>627</v>
      </c>
      <c r="D11" s="3" t="s">
        <v>31</v>
      </c>
      <c r="E11" s="3" t="s">
        <v>32</v>
      </c>
      <c r="F11" s="3" t="s">
        <v>33</v>
      </c>
      <c r="G11" s="0" t="n">
        <v>146</v>
      </c>
      <c r="H11" s="0" t="n">
        <v>2913.51</v>
      </c>
      <c r="I11" s="0" t="n">
        <v>2913.88</v>
      </c>
      <c r="J11" s="2" t="n">
        <v>46068</v>
      </c>
      <c r="K11" s="3" t="s">
        <v>51</v>
      </c>
      <c r="L11" s="2" t="n">
        <v>46068</v>
      </c>
      <c r="M11" s="3" t="s">
        <v>628</v>
      </c>
      <c r="N11" s="2" t="n">
        <v>46069</v>
      </c>
      <c r="O11" s="3" t="s">
        <v>629</v>
      </c>
      <c r="P11" s="3" t="s">
        <v>630</v>
      </c>
      <c r="Q11" s="2" t="n">
        <v>46070</v>
      </c>
      <c r="R11" s="3" t="s">
        <v>631</v>
      </c>
      <c r="S11" s="3" t="s">
        <v>61</v>
      </c>
      <c r="T11" s="3" t="s">
        <v>82</v>
      </c>
      <c r="U11" s="3" t="s">
        <v>82</v>
      </c>
      <c r="V11" s="3" t="s">
        <v>82</v>
      </c>
      <c r="X11" s="0" t="n">
        <v>1.5</v>
      </c>
      <c r="Y11" s="0" t="n">
        <v>4.747</v>
      </c>
      <c r="Z11" s="0" t="n">
        <v>3</v>
      </c>
      <c r="AA11" s="0" t="n">
        <v>5</v>
      </c>
      <c r="AB11" s="4" t="n">
        <f aca="false">I11*AA11*Z11</f>
        <v>43708.2</v>
      </c>
      <c r="AC11" s="4" t="n">
        <f aca="false">AB11*1.18</f>
        <v>51575.676</v>
      </c>
      <c r="AD11" s="0" t="n">
        <v>0</v>
      </c>
    </row>
    <row r="12" customFormat="false" ht="15" hidden="false" customHeight="false" outlineLevel="0" collapsed="false">
      <c r="A12" s="0" t="s">
        <v>29</v>
      </c>
      <c r="B12" s="2" t="n">
        <v>46070</v>
      </c>
      <c r="C12" s="3" t="s">
        <v>632</v>
      </c>
      <c r="D12" s="3" t="s">
        <v>31</v>
      </c>
      <c r="E12" s="3" t="s">
        <v>32</v>
      </c>
      <c r="F12" s="3" t="s">
        <v>33</v>
      </c>
      <c r="G12" s="0" t="n">
        <v>138</v>
      </c>
      <c r="H12" s="0" t="n">
        <v>2787.68</v>
      </c>
      <c r="I12" s="0" t="n">
        <v>3624.11</v>
      </c>
      <c r="J12" s="2" t="n">
        <v>46067</v>
      </c>
      <c r="K12" s="3" t="s">
        <v>416</v>
      </c>
      <c r="L12" s="2" t="n">
        <v>46067</v>
      </c>
      <c r="M12" s="3" t="s">
        <v>96</v>
      </c>
      <c r="N12" s="2" t="n">
        <v>46068</v>
      </c>
      <c r="O12" s="3" t="s">
        <v>38</v>
      </c>
      <c r="P12" s="3" t="s">
        <v>633</v>
      </c>
      <c r="Q12" s="2" t="n">
        <v>46070</v>
      </c>
      <c r="R12" s="3" t="s">
        <v>634</v>
      </c>
      <c r="S12" s="3" t="s">
        <v>69</v>
      </c>
      <c r="T12" s="3" t="s">
        <v>40</v>
      </c>
      <c r="U12" s="3" t="s">
        <v>40</v>
      </c>
      <c r="V12" s="3" t="s">
        <v>40</v>
      </c>
      <c r="X12" s="0" t="n">
        <v>1.5</v>
      </c>
      <c r="Y12" s="0" t="n">
        <v>3.8395</v>
      </c>
      <c r="Z12" s="0" t="n">
        <v>2</v>
      </c>
      <c r="AA12" s="0" t="n">
        <v>3</v>
      </c>
      <c r="AB12" s="4" t="n">
        <f aca="false">I12*AA12*Z12</f>
        <v>21744.66</v>
      </c>
      <c r="AC12" s="4" t="n">
        <f aca="false">AB12*1.18</f>
        <v>25658.6988</v>
      </c>
      <c r="AD12" s="0" t="n">
        <v>0</v>
      </c>
    </row>
    <row r="13" customFormat="false" ht="15" hidden="false" customHeight="false" outlineLevel="0" collapsed="false">
      <c r="A13" s="0" t="s">
        <v>62</v>
      </c>
      <c r="B13" s="2" t="n">
        <v>46070</v>
      </c>
      <c r="C13" s="3" t="s">
        <v>635</v>
      </c>
      <c r="D13" s="3" t="s">
        <v>31</v>
      </c>
      <c r="E13" s="3" t="s">
        <v>32</v>
      </c>
      <c r="F13" s="3" t="s">
        <v>33</v>
      </c>
      <c r="G13" s="0" t="n">
        <v>22</v>
      </c>
      <c r="H13" s="0" t="n">
        <v>124.42</v>
      </c>
      <c r="I13" s="0" t="n">
        <v>187.04</v>
      </c>
      <c r="J13" s="2" t="n">
        <v>46067</v>
      </c>
      <c r="K13" s="3" t="s">
        <v>636</v>
      </c>
      <c r="L13" s="2" t="n">
        <v>46067</v>
      </c>
      <c r="M13" s="3" t="s">
        <v>637</v>
      </c>
      <c r="N13" s="2" t="n">
        <v>46068</v>
      </c>
      <c r="O13" s="3" t="s">
        <v>638</v>
      </c>
      <c r="P13" s="3" t="s">
        <v>639</v>
      </c>
      <c r="Q13" s="2" t="n">
        <v>46070</v>
      </c>
      <c r="R13" s="3" t="s">
        <v>640</v>
      </c>
      <c r="S13" s="3" t="s">
        <v>179</v>
      </c>
      <c r="T13" s="3" t="s">
        <v>90</v>
      </c>
      <c r="U13" s="3" t="s">
        <v>90</v>
      </c>
      <c r="V13" s="3" t="s">
        <v>90</v>
      </c>
      <c r="X13" s="0" t="n">
        <v>1.5</v>
      </c>
      <c r="Y13" s="0" t="n">
        <v>2.7975</v>
      </c>
      <c r="Z13" s="0" t="n">
        <v>1</v>
      </c>
      <c r="AA13" s="0" t="n">
        <v>3</v>
      </c>
      <c r="AB13" s="4" t="n">
        <f aca="false">I13*AA13*Z13</f>
        <v>561.12</v>
      </c>
      <c r="AC13" s="4" t="n">
        <f aca="false">AB13*1.18</f>
        <v>662.1216</v>
      </c>
      <c r="AD13" s="0" t="n">
        <v>0</v>
      </c>
    </row>
    <row r="14" customFormat="false" ht="15" hidden="false" customHeight="false" outlineLevel="0" collapsed="false">
      <c r="A14" s="0" t="s">
        <v>62</v>
      </c>
      <c r="B14" s="2" t="n">
        <v>46070</v>
      </c>
      <c r="C14" s="3" t="s">
        <v>641</v>
      </c>
      <c r="D14" s="3" t="s">
        <v>31</v>
      </c>
      <c r="E14" s="3" t="s">
        <v>32</v>
      </c>
      <c r="F14" s="3" t="s">
        <v>33</v>
      </c>
      <c r="G14" s="0" t="n">
        <v>214</v>
      </c>
      <c r="H14" s="0" t="n">
        <v>1219.03</v>
      </c>
      <c r="I14" s="0" t="n">
        <v>1219.29</v>
      </c>
      <c r="J14" s="2" t="n">
        <v>46068</v>
      </c>
      <c r="K14" s="3" t="s">
        <v>642</v>
      </c>
      <c r="L14" s="2" t="n">
        <v>46068</v>
      </c>
      <c r="M14" s="3" t="s">
        <v>643</v>
      </c>
      <c r="N14" s="2" t="n">
        <v>46069</v>
      </c>
      <c r="O14" s="3" t="s">
        <v>644</v>
      </c>
      <c r="P14" s="3" t="s">
        <v>645</v>
      </c>
      <c r="Q14" s="2" t="n">
        <v>46070</v>
      </c>
      <c r="R14" s="3" t="s">
        <v>646</v>
      </c>
      <c r="S14" s="3" t="s">
        <v>647</v>
      </c>
      <c r="T14" s="3" t="s">
        <v>90</v>
      </c>
      <c r="U14" s="3" t="s">
        <v>90</v>
      </c>
      <c r="V14" s="3" t="s">
        <v>90</v>
      </c>
      <c r="X14" s="0" t="n">
        <v>1.5</v>
      </c>
      <c r="Y14" s="0" t="n">
        <v>3.8632</v>
      </c>
      <c r="Z14" s="0" t="n">
        <v>2</v>
      </c>
      <c r="AA14" s="0" t="n">
        <v>3</v>
      </c>
      <c r="AB14" s="4" t="n">
        <f aca="false">I14*AA14*Z14</f>
        <v>7315.74</v>
      </c>
      <c r="AC14" s="4" t="n">
        <f aca="false">AB14*1.18</f>
        <v>8632.5732</v>
      </c>
      <c r="AD14" s="0" t="n">
        <v>0</v>
      </c>
    </row>
    <row r="15" customFormat="false" ht="15" hidden="false" customHeight="false" outlineLevel="0" collapsed="false">
      <c r="A15" s="0" t="s">
        <v>62</v>
      </c>
      <c r="B15" s="2" t="n">
        <v>46070</v>
      </c>
      <c r="C15" s="3" t="s">
        <v>648</v>
      </c>
      <c r="D15" s="3" t="s">
        <v>31</v>
      </c>
      <c r="E15" s="3" t="s">
        <v>32</v>
      </c>
      <c r="F15" s="3" t="s">
        <v>33</v>
      </c>
      <c r="G15" s="0" t="n">
        <v>176</v>
      </c>
      <c r="H15" s="0" t="n">
        <v>100.71</v>
      </c>
      <c r="I15" s="0" t="n">
        <v>100.76</v>
      </c>
      <c r="J15" s="2" t="n">
        <v>46069</v>
      </c>
      <c r="K15" s="3" t="s">
        <v>649</v>
      </c>
      <c r="L15" s="2" t="n">
        <v>46069</v>
      </c>
      <c r="M15" s="3" t="s">
        <v>650</v>
      </c>
      <c r="N15" s="2" t="n">
        <v>46069</v>
      </c>
      <c r="O15" s="3" t="s">
        <v>651</v>
      </c>
      <c r="P15" s="3" t="s">
        <v>652</v>
      </c>
      <c r="Q15" s="2" t="n">
        <v>46070</v>
      </c>
      <c r="R15" s="3" t="s">
        <v>653</v>
      </c>
      <c r="S15" s="3" t="s">
        <v>149</v>
      </c>
      <c r="T15" s="3" t="s">
        <v>129</v>
      </c>
      <c r="U15" s="3" t="s">
        <v>129</v>
      </c>
      <c r="V15" s="3" t="s">
        <v>129</v>
      </c>
      <c r="X15" s="0" t="n">
        <v>1.5</v>
      </c>
      <c r="Y15" s="0" t="n">
        <v>3.5223</v>
      </c>
      <c r="Z15" s="0" t="n">
        <v>2</v>
      </c>
      <c r="AA15" s="0" t="n">
        <v>5</v>
      </c>
      <c r="AB15" s="4" t="n">
        <f aca="false">I15*AA15*Z15</f>
        <v>1007.6</v>
      </c>
      <c r="AC15" s="4" t="n">
        <f aca="false">AB15*1.18</f>
        <v>1188.968</v>
      </c>
      <c r="AD15" s="0" t="n">
        <v>0</v>
      </c>
    </row>
    <row r="16" customFormat="false" ht="15" hidden="false" customHeight="false" outlineLevel="0" collapsed="false">
      <c r="A16" s="0" t="s">
        <v>62</v>
      </c>
      <c r="B16" s="2" t="n">
        <v>46070</v>
      </c>
      <c r="C16" s="3" t="s">
        <v>654</v>
      </c>
      <c r="D16" s="3" t="s">
        <v>84</v>
      </c>
      <c r="E16" s="3" t="s">
        <v>32</v>
      </c>
      <c r="F16" s="3" t="s">
        <v>33</v>
      </c>
      <c r="G16" s="0" t="n">
        <v>176</v>
      </c>
      <c r="H16" s="0" t="n">
        <v>2612.33</v>
      </c>
      <c r="I16" s="0" t="n">
        <v>2612.51</v>
      </c>
      <c r="J16" s="2" t="n">
        <v>46068</v>
      </c>
      <c r="K16" s="3" t="s">
        <v>655</v>
      </c>
      <c r="L16" s="2" t="n">
        <v>46068</v>
      </c>
      <c r="M16" s="3" t="s">
        <v>382</v>
      </c>
      <c r="N16" s="2" t="n">
        <v>46068</v>
      </c>
      <c r="O16" s="3" t="s">
        <v>656</v>
      </c>
      <c r="P16" s="3" t="s">
        <v>657</v>
      </c>
      <c r="Q16" s="2" t="n">
        <v>46070</v>
      </c>
      <c r="R16" s="3" t="s">
        <v>658</v>
      </c>
      <c r="S16" s="3" t="s">
        <v>47</v>
      </c>
      <c r="T16" s="3" t="s">
        <v>40</v>
      </c>
      <c r="U16" s="3" t="s">
        <v>40</v>
      </c>
      <c r="V16" s="3" t="s">
        <v>40</v>
      </c>
      <c r="X16" s="0" t="n">
        <v>1.5</v>
      </c>
      <c r="Y16" s="0" t="n">
        <v>0.5012</v>
      </c>
      <c r="Z16" s="0" t="n">
        <v>-1</v>
      </c>
      <c r="AA16" s="0" t="n">
        <v>3</v>
      </c>
      <c r="AB16" s="4" t="n">
        <f aca="false">I16*AA16*Z16</f>
        <v>-7837.53</v>
      </c>
      <c r="AC16" s="4" t="n">
        <f aca="false">AB16*1.18</f>
        <v>-9248.2854</v>
      </c>
      <c r="AD16" s="0" t="n">
        <v>0</v>
      </c>
    </row>
    <row r="17" customFormat="false" ht="15" hidden="false" customHeight="false" outlineLevel="0" collapsed="false">
      <c r="A17" s="0" t="s">
        <v>29</v>
      </c>
      <c r="B17" s="2" t="n">
        <v>46071</v>
      </c>
      <c r="C17" s="3" t="s">
        <v>659</v>
      </c>
      <c r="D17" s="3" t="s">
        <v>31</v>
      </c>
      <c r="E17" s="3" t="s">
        <v>32</v>
      </c>
      <c r="F17" s="3" t="s">
        <v>33</v>
      </c>
      <c r="G17" s="0" t="n">
        <v>176</v>
      </c>
      <c r="H17" s="0" t="n">
        <v>1700.63</v>
      </c>
      <c r="I17" s="0" t="n">
        <v>1701.04</v>
      </c>
      <c r="J17" s="2" t="n">
        <v>46070</v>
      </c>
      <c r="K17" s="3" t="s">
        <v>660</v>
      </c>
      <c r="L17" s="2" t="n">
        <v>46070</v>
      </c>
      <c r="M17" s="3" t="s">
        <v>412</v>
      </c>
      <c r="N17" s="2" t="n">
        <v>46071</v>
      </c>
      <c r="O17" s="3" t="s">
        <v>661</v>
      </c>
      <c r="P17" s="3" t="s">
        <v>662</v>
      </c>
      <c r="Q17" s="2" t="n">
        <v>46071</v>
      </c>
      <c r="R17" s="3" t="s">
        <v>663</v>
      </c>
      <c r="S17" s="3" t="s">
        <v>54</v>
      </c>
      <c r="T17" s="3" t="s">
        <v>82</v>
      </c>
      <c r="U17" s="3" t="s">
        <v>82</v>
      </c>
      <c r="V17" s="3" t="s">
        <v>82</v>
      </c>
      <c r="X17" s="0" t="n">
        <v>1.5</v>
      </c>
      <c r="Y17" s="0" t="n">
        <v>1.5798</v>
      </c>
      <c r="Z17" s="0" t="n">
        <v>1</v>
      </c>
      <c r="AA17" s="0" t="n">
        <v>5</v>
      </c>
      <c r="AB17" s="4" t="n">
        <f aca="false">I17*AA17*Z17</f>
        <v>8505.2</v>
      </c>
      <c r="AC17" s="4" t="n">
        <f aca="false">AB17*1.18</f>
        <v>10036.136</v>
      </c>
      <c r="AD17" s="0" t="n">
        <v>0</v>
      </c>
    </row>
    <row r="18" customFormat="false" ht="15" hidden="false" customHeight="false" outlineLevel="0" collapsed="false">
      <c r="A18" s="0" t="s">
        <v>29</v>
      </c>
      <c r="B18" s="2" t="n">
        <v>46071</v>
      </c>
      <c r="C18" s="3" t="s">
        <v>664</v>
      </c>
      <c r="D18" s="3" t="s">
        <v>84</v>
      </c>
      <c r="E18" s="3" t="s">
        <v>32</v>
      </c>
      <c r="F18" s="3" t="s">
        <v>33</v>
      </c>
      <c r="G18" s="0" t="n">
        <v>210</v>
      </c>
      <c r="H18" s="0" t="n">
        <v>537.94</v>
      </c>
      <c r="I18" s="0" t="n">
        <v>538.16</v>
      </c>
      <c r="J18" s="2" t="n">
        <v>46069</v>
      </c>
      <c r="K18" s="3" t="s">
        <v>665</v>
      </c>
      <c r="L18" s="2" t="n">
        <v>46069</v>
      </c>
      <c r="M18" s="3" t="s">
        <v>666</v>
      </c>
      <c r="N18" s="2" t="n">
        <v>46070</v>
      </c>
      <c r="O18" s="3" t="s">
        <v>667</v>
      </c>
      <c r="P18" s="3" t="s">
        <v>668</v>
      </c>
      <c r="Q18" s="2" t="n">
        <v>46071</v>
      </c>
      <c r="R18" s="3" t="s">
        <v>669</v>
      </c>
      <c r="S18" s="3" t="s">
        <v>69</v>
      </c>
      <c r="T18" s="3" t="s">
        <v>40</v>
      </c>
      <c r="U18" s="3" t="s">
        <v>40</v>
      </c>
      <c r="V18" s="3" t="s">
        <v>40</v>
      </c>
      <c r="X18" s="0" t="n">
        <v>1.5</v>
      </c>
      <c r="Y18" s="0" t="n">
        <v>1.8248</v>
      </c>
      <c r="Z18" s="0" t="n">
        <v>1</v>
      </c>
      <c r="AA18" s="0" t="n">
        <v>3</v>
      </c>
      <c r="AB18" s="4" t="n">
        <f aca="false">I18*AA18*Z18</f>
        <v>1614.48</v>
      </c>
      <c r="AC18" s="4" t="n">
        <f aca="false">AB18*1.18</f>
        <v>1905.0864</v>
      </c>
      <c r="AD18" s="0" t="n">
        <v>0</v>
      </c>
    </row>
    <row r="19" customFormat="false" ht="15" hidden="false" customHeight="false" outlineLevel="0" collapsed="false">
      <c r="A19" s="0" t="s">
        <v>62</v>
      </c>
      <c r="B19" s="2" t="n">
        <v>46071</v>
      </c>
      <c r="C19" s="3" t="s">
        <v>670</v>
      </c>
      <c r="D19" s="3" t="s">
        <v>31</v>
      </c>
      <c r="E19" s="3" t="s">
        <v>32</v>
      </c>
      <c r="F19" s="3" t="s">
        <v>33</v>
      </c>
      <c r="G19" s="0" t="n">
        <v>213</v>
      </c>
      <c r="H19" s="0" t="n">
        <v>1183</v>
      </c>
      <c r="I19" s="0" t="n">
        <v>1301.42</v>
      </c>
      <c r="J19" s="2" t="n">
        <v>46069</v>
      </c>
      <c r="K19" s="3" t="s">
        <v>671</v>
      </c>
      <c r="L19" s="2" t="n">
        <v>46069</v>
      </c>
      <c r="M19" s="3" t="s">
        <v>672</v>
      </c>
      <c r="N19" s="2" t="n">
        <v>46069</v>
      </c>
      <c r="O19" s="3" t="s">
        <v>673</v>
      </c>
      <c r="P19" s="3" t="s">
        <v>674</v>
      </c>
      <c r="Q19" s="2" t="n">
        <v>46071</v>
      </c>
      <c r="R19" s="3" t="s">
        <v>675</v>
      </c>
      <c r="S19" s="3" t="s">
        <v>179</v>
      </c>
      <c r="T19" s="3" t="s">
        <v>40</v>
      </c>
      <c r="U19" s="3" t="s">
        <v>40</v>
      </c>
      <c r="V19" s="3" t="s">
        <v>40</v>
      </c>
      <c r="X19" s="0" t="n">
        <v>1.5</v>
      </c>
      <c r="Y19" s="0" t="n">
        <v>5.0141</v>
      </c>
      <c r="Z19" s="0" t="n">
        <v>4</v>
      </c>
      <c r="AA19" s="0" t="n">
        <v>3</v>
      </c>
      <c r="AB19" s="4" t="n">
        <f aca="false">I19*AA19*Z19</f>
        <v>15617.04</v>
      </c>
      <c r="AC19" s="4" t="n">
        <f aca="false">AB19*1.18</f>
        <v>18428.1072</v>
      </c>
      <c r="AD19" s="0" t="n">
        <v>0</v>
      </c>
    </row>
    <row r="20" customFormat="false" ht="15" hidden="false" customHeight="false" outlineLevel="0" collapsed="false">
      <c r="A20" s="0" t="s">
        <v>62</v>
      </c>
      <c r="B20" s="2" t="n">
        <v>46071</v>
      </c>
      <c r="C20" s="3" t="s">
        <v>676</v>
      </c>
      <c r="D20" s="3" t="s">
        <v>84</v>
      </c>
      <c r="E20" s="3" t="s">
        <v>32</v>
      </c>
      <c r="F20" s="3" t="s">
        <v>33</v>
      </c>
      <c r="G20" s="0" t="n">
        <v>148</v>
      </c>
      <c r="H20" s="0" t="n">
        <v>2754.91</v>
      </c>
      <c r="I20" s="0" t="n">
        <v>3030.87</v>
      </c>
      <c r="J20" s="2" t="n">
        <v>46070</v>
      </c>
      <c r="K20" s="3" t="s">
        <v>677</v>
      </c>
      <c r="L20" s="2" t="n">
        <v>46070</v>
      </c>
      <c r="M20" s="3" t="s">
        <v>678</v>
      </c>
      <c r="N20" s="2" t="n">
        <v>46070</v>
      </c>
      <c r="O20" s="3" t="s">
        <v>679</v>
      </c>
      <c r="P20" s="3" t="s">
        <v>680</v>
      </c>
      <c r="Q20" s="2" t="n">
        <v>46071</v>
      </c>
      <c r="R20" s="3" t="s">
        <v>681</v>
      </c>
      <c r="S20" s="3" t="s">
        <v>149</v>
      </c>
      <c r="T20" s="3" t="s">
        <v>82</v>
      </c>
      <c r="U20" s="3" t="s">
        <v>82</v>
      </c>
      <c r="V20" s="3" t="s">
        <v>82</v>
      </c>
      <c r="X20" s="0" t="n">
        <v>1.5</v>
      </c>
      <c r="Y20" s="0" t="n">
        <v>3.1985</v>
      </c>
      <c r="Z20" s="0" t="n">
        <v>2</v>
      </c>
      <c r="AA20" s="0" t="n">
        <v>5</v>
      </c>
      <c r="AB20" s="4" t="n">
        <f aca="false">I20*AA20*Z20</f>
        <v>30308.7</v>
      </c>
      <c r="AC20" s="4" t="n">
        <f aca="false">AB20*1.18</f>
        <v>35764.266</v>
      </c>
      <c r="AD20" s="0" t="n">
        <v>0</v>
      </c>
    </row>
    <row r="21" customFormat="false" ht="15" hidden="false" customHeight="false" outlineLevel="0" collapsed="false">
      <c r="A21" s="0" t="s">
        <v>62</v>
      </c>
      <c r="B21" s="2" t="n">
        <v>46071</v>
      </c>
      <c r="C21" s="3" t="s">
        <v>682</v>
      </c>
      <c r="D21" s="3" t="s">
        <v>31</v>
      </c>
      <c r="E21" s="3" t="s">
        <v>32</v>
      </c>
      <c r="F21" s="3" t="s">
        <v>33</v>
      </c>
      <c r="G21" s="0" t="n">
        <v>134</v>
      </c>
      <c r="H21" s="0" t="n">
        <v>330.76</v>
      </c>
      <c r="I21" s="0" t="n">
        <v>331.18</v>
      </c>
      <c r="J21" s="2" t="n">
        <v>46069</v>
      </c>
      <c r="K21" s="3" t="s">
        <v>683</v>
      </c>
      <c r="L21" s="2" t="n">
        <v>46069</v>
      </c>
      <c r="M21" s="3" t="s">
        <v>57</v>
      </c>
      <c r="N21" s="2" t="n">
        <v>46070</v>
      </c>
      <c r="O21" s="3" t="s">
        <v>684</v>
      </c>
      <c r="P21" s="3" t="s">
        <v>685</v>
      </c>
      <c r="Q21" s="2" t="n">
        <v>46071</v>
      </c>
      <c r="R21" s="3" t="s">
        <v>686</v>
      </c>
      <c r="S21" s="3" t="s">
        <v>155</v>
      </c>
      <c r="T21" s="3" t="s">
        <v>40</v>
      </c>
      <c r="U21" s="3" t="s">
        <v>40</v>
      </c>
      <c r="V21" s="3" t="s">
        <v>40</v>
      </c>
      <c r="X21" s="0" t="n">
        <v>1.5</v>
      </c>
      <c r="Y21" s="0" t="n">
        <v>2.034</v>
      </c>
      <c r="Z21" s="0" t="n">
        <v>1</v>
      </c>
      <c r="AA21" s="0" t="n">
        <v>3</v>
      </c>
      <c r="AB21" s="4" t="n">
        <f aca="false">I21*AA21*Z21</f>
        <v>993.54</v>
      </c>
      <c r="AC21" s="4" t="n">
        <f aca="false">AB21*1.18</f>
        <v>1172.3772</v>
      </c>
      <c r="AD21" s="0" t="n">
        <v>0</v>
      </c>
    </row>
    <row r="22" customFormat="false" ht="15" hidden="false" customHeight="false" outlineLevel="0" collapsed="false">
      <c r="A22" s="0" t="s">
        <v>62</v>
      </c>
      <c r="B22" s="2" t="n">
        <v>46071</v>
      </c>
      <c r="C22" s="3" t="s">
        <v>687</v>
      </c>
      <c r="D22" s="3" t="s">
        <v>84</v>
      </c>
      <c r="E22" s="3" t="s">
        <v>32</v>
      </c>
      <c r="F22" s="3" t="s">
        <v>33</v>
      </c>
      <c r="G22" s="0" t="n">
        <v>9</v>
      </c>
      <c r="H22" s="0" t="n">
        <v>1073.19</v>
      </c>
      <c r="I22" s="0" t="n">
        <v>1395.34</v>
      </c>
      <c r="J22" s="2" t="n">
        <v>46068</v>
      </c>
      <c r="K22" s="3" t="s">
        <v>429</v>
      </c>
      <c r="L22" s="2" t="n">
        <v>46069</v>
      </c>
      <c r="M22" s="3" t="s">
        <v>449</v>
      </c>
      <c r="N22" s="2" t="n">
        <v>46069</v>
      </c>
      <c r="O22" s="3" t="s">
        <v>688</v>
      </c>
      <c r="P22" s="3" t="s">
        <v>689</v>
      </c>
      <c r="Q22" s="2" t="n">
        <v>46071</v>
      </c>
      <c r="R22" s="3" t="s">
        <v>690</v>
      </c>
      <c r="S22" s="3" t="s">
        <v>39</v>
      </c>
      <c r="T22" s="3" t="s">
        <v>129</v>
      </c>
      <c r="U22" s="3" t="s">
        <v>129</v>
      </c>
      <c r="V22" s="3" t="s">
        <v>129</v>
      </c>
      <c r="X22" s="0" t="n">
        <v>1.5</v>
      </c>
      <c r="Y22" s="0" t="n">
        <v>4.7696</v>
      </c>
      <c r="Z22" s="0" t="n">
        <v>3</v>
      </c>
      <c r="AA22" s="0" t="n">
        <v>5</v>
      </c>
      <c r="AB22" s="4" t="n">
        <f aca="false">I22*AA22*Z22</f>
        <v>20930.1</v>
      </c>
      <c r="AC22" s="4" t="n">
        <f aca="false">AB22*1.18</f>
        <v>24697.518</v>
      </c>
      <c r="AD22" s="0" t="n">
        <v>0</v>
      </c>
    </row>
    <row r="23" customFormat="false" ht="15" hidden="false" customHeight="false" outlineLevel="0" collapsed="false">
      <c r="A23" s="0" t="s">
        <v>29</v>
      </c>
      <c r="B23" s="2" t="n">
        <v>46072</v>
      </c>
      <c r="C23" s="3" t="s">
        <v>691</v>
      </c>
      <c r="D23" s="3" t="s">
        <v>84</v>
      </c>
      <c r="E23" s="3" t="s">
        <v>32</v>
      </c>
      <c r="F23" s="3" t="s">
        <v>33</v>
      </c>
      <c r="G23" s="0" t="n">
        <v>211</v>
      </c>
      <c r="H23" s="0" t="n">
        <v>2017.61</v>
      </c>
      <c r="I23" s="0" t="n">
        <v>2219.8</v>
      </c>
      <c r="J23" s="2" t="n">
        <v>46069</v>
      </c>
      <c r="K23" s="3" t="s">
        <v>145</v>
      </c>
      <c r="L23" s="2" t="n">
        <v>46070</v>
      </c>
      <c r="M23" s="3" t="s">
        <v>692</v>
      </c>
      <c r="N23" s="2" t="n">
        <v>46070</v>
      </c>
      <c r="O23" s="3" t="s">
        <v>693</v>
      </c>
      <c r="P23" s="3" t="s">
        <v>694</v>
      </c>
      <c r="Q23" s="2" t="n">
        <v>46072</v>
      </c>
      <c r="R23" s="3" t="s">
        <v>695</v>
      </c>
      <c r="S23" s="3" t="s">
        <v>179</v>
      </c>
      <c r="T23" s="3" t="s">
        <v>40</v>
      </c>
      <c r="U23" s="3" t="s">
        <v>40</v>
      </c>
      <c r="V23" s="3" t="s">
        <v>40</v>
      </c>
      <c r="X23" s="0" t="n">
        <v>1.5</v>
      </c>
      <c r="Y23" s="0" t="n">
        <v>3.6811</v>
      </c>
      <c r="Z23" s="0" t="n">
        <v>2</v>
      </c>
      <c r="AA23" s="0" t="n">
        <v>3</v>
      </c>
      <c r="AB23" s="4" t="n">
        <f aca="false">I23*AA23*Z23</f>
        <v>13318.8</v>
      </c>
      <c r="AC23" s="4" t="n">
        <f aca="false">AB23*1.18</f>
        <v>15716.184</v>
      </c>
      <c r="AD23" s="0" t="n">
        <v>0</v>
      </c>
    </row>
    <row r="24" customFormat="false" ht="15" hidden="false" customHeight="false" outlineLevel="0" collapsed="false">
      <c r="A24" s="0" t="s">
        <v>29</v>
      </c>
      <c r="B24" s="2" t="n">
        <v>46072</v>
      </c>
      <c r="C24" s="3" t="s">
        <v>696</v>
      </c>
      <c r="D24" s="3" t="s">
        <v>31</v>
      </c>
      <c r="E24" s="3" t="s">
        <v>32</v>
      </c>
      <c r="F24" s="3" t="s">
        <v>33</v>
      </c>
      <c r="G24" s="0" t="n">
        <v>212</v>
      </c>
      <c r="H24" s="0" t="n">
        <v>1022.66</v>
      </c>
      <c r="I24" s="0" t="n">
        <v>1329.57</v>
      </c>
      <c r="J24" s="2" t="n">
        <v>46071</v>
      </c>
      <c r="K24" s="3" t="s">
        <v>194</v>
      </c>
      <c r="L24" s="2" t="n">
        <v>46071</v>
      </c>
      <c r="M24" s="3" t="s">
        <v>697</v>
      </c>
      <c r="N24" s="2" t="n">
        <v>46071</v>
      </c>
      <c r="O24" s="3" t="s">
        <v>457</v>
      </c>
      <c r="P24" s="3" t="s">
        <v>698</v>
      </c>
      <c r="Q24" s="2" t="n">
        <v>46072</v>
      </c>
      <c r="R24" s="3" t="s">
        <v>699</v>
      </c>
      <c r="S24" s="3" t="s">
        <v>39</v>
      </c>
      <c r="T24" s="3" t="s">
        <v>40</v>
      </c>
      <c r="U24" s="3" t="s">
        <v>40</v>
      </c>
      <c r="V24" s="3" t="s">
        <v>40</v>
      </c>
      <c r="X24" s="0" t="n">
        <v>1.5</v>
      </c>
      <c r="Y24" s="0" t="n">
        <v>3.5727</v>
      </c>
      <c r="Z24" s="0" t="n">
        <v>2</v>
      </c>
      <c r="AA24" s="0" t="n">
        <v>3</v>
      </c>
      <c r="AB24" s="4" t="n">
        <f aca="false">I24*AA24*Z24</f>
        <v>7977.42</v>
      </c>
      <c r="AC24" s="4" t="n">
        <f aca="false">AB24*1.18</f>
        <v>9413.3556</v>
      </c>
      <c r="AD24" s="0" t="n">
        <v>0</v>
      </c>
    </row>
    <row r="25" customFormat="false" ht="15" hidden="false" customHeight="false" outlineLevel="0" collapsed="false">
      <c r="A25" s="0" t="s">
        <v>29</v>
      </c>
      <c r="B25" s="2" t="n">
        <v>46072</v>
      </c>
      <c r="C25" s="3" t="s">
        <v>700</v>
      </c>
      <c r="D25" s="3" t="s">
        <v>31</v>
      </c>
      <c r="E25" s="3" t="s">
        <v>32</v>
      </c>
      <c r="F25" s="3" t="s">
        <v>33</v>
      </c>
      <c r="G25" s="0" t="n">
        <v>88</v>
      </c>
      <c r="H25" s="0" t="n">
        <v>2531.3</v>
      </c>
      <c r="I25" s="0" t="n">
        <v>2531.77</v>
      </c>
      <c r="J25" s="2" t="n">
        <v>46071</v>
      </c>
      <c r="K25" s="3" t="s">
        <v>701</v>
      </c>
      <c r="L25" s="2" t="n">
        <v>46071</v>
      </c>
      <c r="M25" s="3" t="s">
        <v>108</v>
      </c>
      <c r="N25" s="2" t="n">
        <v>46071</v>
      </c>
      <c r="O25" s="3" t="s">
        <v>702</v>
      </c>
      <c r="P25" s="3" t="s">
        <v>703</v>
      </c>
      <c r="Q25" s="2" t="n">
        <v>46072</v>
      </c>
      <c r="R25" s="3" t="s">
        <v>704</v>
      </c>
      <c r="S25" s="3" t="s">
        <v>69</v>
      </c>
      <c r="T25" s="3" t="s">
        <v>40</v>
      </c>
      <c r="U25" s="3" t="s">
        <v>40</v>
      </c>
      <c r="V25" s="3" t="s">
        <v>40</v>
      </c>
      <c r="X25" s="0" t="n">
        <v>1.5</v>
      </c>
      <c r="Y25" s="0" t="n">
        <v>4.4635</v>
      </c>
      <c r="Z25" s="0" t="n">
        <v>3</v>
      </c>
      <c r="AA25" s="0" t="n">
        <v>3</v>
      </c>
      <c r="AB25" s="4" t="n">
        <f aca="false">I25*AA25*Z25</f>
        <v>22785.93</v>
      </c>
      <c r="AC25" s="4" t="n">
        <f aca="false">AB25*1.18</f>
        <v>26887.3974</v>
      </c>
      <c r="AD25" s="0" t="n">
        <v>0</v>
      </c>
    </row>
    <row r="26" customFormat="false" ht="15" hidden="false" customHeight="false" outlineLevel="0" collapsed="false">
      <c r="A26" s="0" t="s">
        <v>29</v>
      </c>
      <c r="B26" s="2" t="n">
        <v>46072</v>
      </c>
      <c r="C26" s="3" t="s">
        <v>705</v>
      </c>
      <c r="D26" s="3" t="s">
        <v>31</v>
      </c>
      <c r="E26" s="3" t="s">
        <v>32</v>
      </c>
      <c r="F26" s="3" t="s">
        <v>33</v>
      </c>
      <c r="G26" s="0" t="n">
        <v>54</v>
      </c>
      <c r="H26" s="0" t="n">
        <v>2387.64</v>
      </c>
      <c r="I26" s="0" t="n">
        <v>2387.88</v>
      </c>
      <c r="J26" s="2" t="n">
        <v>46070</v>
      </c>
      <c r="K26" s="3" t="s">
        <v>706</v>
      </c>
      <c r="L26" s="2" t="n">
        <v>46070</v>
      </c>
      <c r="M26" s="3" t="s">
        <v>707</v>
      </c>
      <c r="N26" s="2" t="n">
        <v>46070</v>
      </c>
      <c r="O26" s="3" t="s">
        <v>403</v>
      </c>
      <c r="P26" s="3" t="s">
        <v>708</v>
      </c>
      <c r="Q26" s="2" t="n">
        <v>46072</v>
      </c>
      <c r="R26" s="3" t="s">
        <v>709</v>
      </c>
      <c r="S26" s="3" t="s">
        <v>115</v>
      </c>
      <c r="T26" s="3" t="s">
        <v>425</v>
      </c>
      <c r="U26" s="3" t="s">
        <v>425</v>
      </c>
      <c r="V26" s="3" t="s">
        <v>425</v>
      </c>
      <c r="X26" s="0" t="n">
        <v>1.5</v>
      </c>
      <c r="Y26" s="0" t="n">
        <v>0.6727</v>
      </c>
      <c r="Z26" s="0" t="n">
        <v>-1</v>
      </c>
      <c r="AA26" s="0" t="n">
        <v>5</v>
      </c>
      <c r="AB26" s="4" t="n">
        <f aca="false">I26*AA26*Z26</f>
        <v>-11939.4</v>
      </c>
      <c r="AC26" s="4" t="n">
        <f aca="false">AB26*1.18</f>
        <v>-14088.492</v>
      </c>
      <c r="AD26" s="0" t="n">
        <v>0</v>
      </c>
    </row>
    <row r="27" customFormat="false" ht="15" hidden="false" customHeight="false" outlineLevel="0" collapsed="false">
      <c r="A27" s="0" t="s">
        <v>62</v>
      </c>
      <c r="B27" s="2" t="n">
        <v>46072</v>
      </c>
      <c r="C27" s="3" t="s">
        <v>710</v>
      </c>
      <c r="D27" s="3" t="s">
        <v>31</v>
      </c>
      <c r="E27" s="3" t="s">
        <v>32</v>
      </c>
      <c r="F27" s="3" t="s">
        <v>33</v>
      </c>
      <c r="G27" s="0" t="n">
        <v>99</v>
      </c>
      <c r="H27" s="0" t="n">
        <v>2122.83</v>
      </c>
      <c r="I27" s="0" t="n">
        <v>2335.31</v>
      </c>
      <c r="J27" s="2" t="n">
        <v>46070</v>
      </c>
      <c r="K27" s="3" t="s">
        <v>711</v>
      </c>
      <c r="L27" s="2" t="n">
        <v>46071</v>
      </c>
      <c r="M27" s="3" t="s">
        <v>320</v>
      </c>
      <c r="N27" s="2" t="n">
        <v>46071</v>
      </c>
      <c r="O27" s="3" t="s">
        <v>712</v>
      </c>
      <c r="P27" s="3" t="s">
        <v>713</v>
      </c>
      <c r="Q27" s="2" t="n">
        <v>46072</v>
      </c>
      <c r="R27" s="3" t="s">
        <v>649</v>
      </c>
      <c r="S27" s="3" t="s">
        <v>39</v>
      </c>
      <c r="T27" s="3" t="s">
        <v>40</v>
      </c>
      <c r="U27" s="3" t="s">
        <v>40</v>
      </c>
      <c r="V27" s="3" t="s">
        <v>40</v>
      </c>
      <c r="X27" s="0" t="n">
        <v>1.5</v>
      </c>
      <c r="Y27" s="0" t="n">
        <v>2.9048</v>
      </c>
      <c r="Z27" s="0" t="n">
        <v>1</v>
      </c>
      <c r="AA27" s="0" t="n">
        <v>3</v>
      </c>
      <c r="AB27" s="4" t="n">
        <f aca="false">I27*AA27*Z27</f>
        <v>7005.93</v>
      </c>
      <c r="AC27" s="4" t="n">
        <f aca="false">AB27*1.18</f>
        <v>8266.9974</v>
      </c>
      <c r="AD27" s="0" t="n">
        <v>0</v>
      </c>
    </row>
    <row r="28" customFormat="false" ht="15" hidden="false" customHeight="false" outlineLevel="0" collapsed="false">
      <c r="A28" s="0" t="s">
        <v>62</v>
      </c>
      <c r="B28" s="2" t="n">
        <v>46072</v>
      </c>
      <c r="C28" s="3" t="s">
        <v>714</v>
      </c>
      <c r="D28" s="3" t="s">
        <v>31</v>
      </c>
      <c r="E28" s="3" t="s">
        <v>32</v>
      </c>
      <c r="F28" s="3" t="s">
        <v>33</v>
      </c>
      <c r="G28" s="0" t="n">
        <v>59</v>
      </c>
      <c r="H28" s="0" t="n">
        <v>268.6</v>
      </c>
      <c r="I28" s="0" t="n">
        <v>268.99</v>
      </c>
      <c r="J28" s="2" t="n">
        <v>46070</v>
      </c>
      <c r="K28" s="3" t="s">
        <v>715</v>
      </c>
      <c r="L28" s="2" t="n">
        <v>46070</v>
      </c>
      <c r="M28" s="3" t="s">
        <v>716</v>
      </c>
      <c r="N28" s="2" t="n">
        <v>46070</v>
      </c>
      <c r="O28" s="3" t="s">
        <v>717</v>
      </c>
      <c r="P28" s="3" t="s">
        <v>718</v>
      </c>
      <c r="Q28" s="2" t="n">
        <v>46072</v>
      </c>
      <c r="R28" s="3" t="s">
        <v>279</v>
      </c>
      <c r="S28" s="3" t="s">
        <v>115</v>
      </c>
      <c r="T28" s="3" t="s">
        <v>248</v>
      </c>
      <c r="U28" s="3" t="s">
        <v>248</v>
      </c>
      <c r="V28" s="3" t="s">
        <v>248</v>
      </c>
      <c r="X28" s="0" t="n">
        <v>1.5</v>
      </c>
      <c r="Y28" s="0" t="n">
        <v>0.783</v>
      </c>
      <c r="Z28" s="0" t="n">
        <v>-1</v>
      </c>
      <c r="AA28" s="0" t="n">
        <v>3</v>
      </c>
      <c r="AB28" s="4" t="n">
        <f aca="false">I28*AA28*Z28</f>
        <v>-806.97</v>
      </c>
      <c r="AC28" s="4" t="n">
        <f aca="false">AB28*1.18</f>
        <v>-952.2246</v>
      </c>
      <c r="AD28" s="0" t="n">
        <v>0</v>
      </c>
    </row>
    <row r="29" customFormat="false" ht="15" hidden="false" customHeight="false" outlineLevel="0" collapsed="false">
      <c r="A29" s="0" t="s">
        <v>29</v>
      </c>
      <c r="B29" s="2" t="n">
        <v>46073</v>
      </c>
      <c r="C29" s="3" t="s">
        <v>719</v>
      </c>
      <c r="D29" s="3" t="s">
        <v>31</v>
      </c>
      <c r="E29" s="3" t="s">
        <v>32</v>
      </c>
      <c r="F29" s="3" t="s">
        <v>33</v>
      </c>
      <c r="G29" s="0" t="n">
        <v>184</v>
      </c>
      <c r="H29" s="0" t="n">
        <v>1497.63</v>
      </c>
      <c r="I29" s="0" t="n">
        <v>1647.85</v>
      </c>
      <c r="J29" s="2" t="n">
        <v>46071</v>
      </c>
      <c r="K29" s="3" t="s">
        <v>720</v>
      </c>
      <c r="L29" s="2" t="n">
        <v>46071</v>
      </c>
      <c r="M29" s="3" t="s">
        <v>396</v>
      </c>
      <c r="N29" s="2" t="n">
        <v>46071</v>
      </c>
      <c r="O29" s="3" t="s">
        <v>721</v>
      </c>
      <c r="P29" s="3" t="s">
        <v>722</v>
      </c>
      <c r="Q29" s="2" t="n">
        <v>46073</v>
      </c>
      <c r="R29" s="3" t="s">
        <v>723</v>
      </c>
      <c r="S29" s="3" t="s">
        <v>54</v>
      </c>
      <c r="T29" s="3" t="s">
        <v>40</v>
      </c>
      <c r="U29" s="3" t="s">
        <v>40</v>
      </c>
      <c r="V29" s="3" t="s">
        <v>40</v>
      </c>
      <c r="X29" s="0" t="n">
        <v>1.5</v>
      </c>
      <c r="Y29" s="0" t="n">
        <v>4.8461</v>
      </c>
      <c r="Z29" s="0" t="n">
        <v>3</v>
      </c>
      <c r="AA29" s="0" t="n">
        <v>3</v>
      </c>
      <c r="AB29" s="4" t="n">
        <f aca="false">I29*AA29*Z29</f>
        <v>14830.65</v>
      </c>
      <c r="AC29" s="4" t="n">
        <f aca="false">AB29*1.18</f>
        <v>17500.167</v>
      </c>
      <c r="AD29" s="0" t="n">
        <v>0</v>
      </c>
    </row>
    <row r="30" customFormat="false" ht="15" hidden="false" customHeight="false" outlineLevel="0" collapsed="false">
      <c r="A30" s="0" t="s">
        <v>29</v>
      </c>
      <c r="B30" s="2" t="n">
        <v>46073</v>
      </c>
      <c r="C30" s="3" t="s">
        <v>724</v>
      </c>
      <c r="D30" s="3" t="s">
        <v>31</v>
      </c>
      <c r="E30" s="3" t="s">
        <v>32</v>
      </c>
      <c r="F30" s="3" t="s">
        <v>33</v>
      </c>
      <c r="G30" s="0" t="n">
        <v>45</v>
      </c>
      <c r="H30" s="0" t="n">
        <v>2526.23</v>
      </c>
      <c r="I30" s="0" t="n">
        <v>3284.37</v>
      </c>
      <c r="J30" s="2" t="n">
        <v>46072</v>
      </c>
      <c r="K30" s="3" t="s">
        <v>725</v>
      </c>
      <c r="L30" s="2" t="n">
        <v>46072</v>
      </c>
      <c r="M30" s="3" t="s">
        <v>597</v>
      </c>
      <c r="N30" s="2" t="n">
        <v>46072</v>
      </c>
      <c r="O30" s="3" t="s">
        <v>726</v>
      </c>
      <c r="P30" s="3" t="s">
        <v>727</v>
      </c>
      <c r="Q30" s="2" t="n">
        <v>46073</v>
      </c>
      <c r="R30" s="3" t="s">
        <v>728</v>
      </c>
      <c r="S30" s="3" t="s">
        <v>647</v>
      </c>
      <c r="T30" s="3" t="s">
        <v>40</v>
      </c>
      <c r="U30" s="3" t="s">
        <v>40</v>
      </c>
      <c r="V30" s="3" t="s">
        <v>40</v>
      </c>
      <c r="X30" s="0" t="n">
        <v>1.5</v>
      </c>
      <c r="Y30" s="0" t="n">
        <v>0.9906</v>
      </c>
      <c r="Z30" s="0" t="n">
        <v>-1</v>
      </c>
      <c r="AA30" s="0" t="n">
        <v>3</v>
      </c>
      <c r="AB30" s="4" t="n">
        <f aca="false">I30*AA30*Z30</f>
        <v>-9853.11</v>
      </c>
      <c r="AC30" s="4" t="n">
        <f aca="false">AB30*1.18</f>
        <v>-11626.6698</v>
      </c>
      <c r="AD30" s="0" t="n">
        <v>0</v>
      </c>
    </row>
    <row r="31" customFormat="false" ht="15" hidden="false" customHeight="false" outlineLevel="0" collapsed="false">
      <c r="A31" s="0" t="s">
        <v>29</v>
      </c>
      <c r="B31" s="2" t="n">
        <v>46073</v>
      </c>
      <c r="C31" s="3" t="s">
        <v>729</v>
      </c>
      <c r="D31" s="3" t="s">
        <v>31</v>
      </c>
      <c r="E31" s="3" t="s">
        <v>32</v>
      </c>
      <c r="F31" s="3" t="s">
        <v>33</v>
      </c>
      <c r="G31" s="0" t="n">
        <v>163</v>
      </c>
      <c r="H31" s="0" t="n">
        <v>276.75</v>
      </c>
      <c r="I31" s="0" t="n">
        <v>277.01</v>
      </c>
      <c r="J31" s="2" t="n">
        <v>46070</v>
      </c>
      <c r="K31" s="3" t="s">
        <v>99</v>
      </c>
      <c r="L31" s="2" t="n">
        <v>46070</v>
      </c>
      <c r="M31" s="3" t="s">
        <v>336</v>
      </c>
      <c r="N31" s="2" t="n">
        <v>46070</v>
      </c>
      <c r="O31" s="3" t="s">
        <v>376</v>
      </c>
      <c r="P31" s="3" t="s">
        <v>730</v>
      </c>
      <c r="Q31" s="2" t="n">
        <v>46073</v>
      </c>
      <c r="R31" s="3" t="s">
        <v>273</v>
      </c>
      <c r="S31" s="3" t="s">
        <v>304</v>
      </c>
      <c r="T31" s="3" t="s">
        <v>40</v>
      </c>
      <c r="U31" s="3" t="s">
        <v>40</v>
      </c>
      <c r="V31" s="3" t="s">
        <v>40</v>
      </c>
      <c r="X31" s="0" t="n">
        <v>1.5</v>
      </c>
      <c r="Y31" s="0" t="n">
        <v>4.7499</v>
      </c>
      <c r="Z31" s="0" t="n">
        <v>3</v>
      </c>
      <c r="AA31" s="0" t="n">
        <v>3</v>
      </c>
      <c r="AB31" s="4" t="n">
        <f aca="false">I31*AA31*Z31</f>
        <v>2493.09</v>
      </c>
      <c r="AC31" s="4" t="n">
        <f aca="false">AB31*1.18</f>
        <v>2941.8462</v>
      </c>
      <c r="AD31" s="0" t="n">
        <v>0</v>
      </c>
    </row>
    <row r="32" customFormat="false" ht="15" hidden="false" customHeight="false" outlineLevel="0" collapsed="false">
      <c r="A32" s="0" t="s">
        <v>29</v>
      </c>
      <c r="B32" s="2" t="n">
        <v>46073</v>
      </c>
      <c r="C32" s="3" t="s">
        <v>731</v>
      </c>
      <c r="D32" s="3" t="s">
        <v>84</v>
      </c>
      <c r="E32" s="3" t="s">
        <v>32</v>
      </c>
      <c r="F32" s="3" t="s">
        <v>33</v>
      </c>
      <c r="G32" s="0" t="n">
        <v>199</v>
      </c>
      <c r="H32" s="0" t="n">
        <v>2322</v>
      </c>
      <c r="I32" s="0" t="n">
        <v>2322.15</v>
      </c>
      <c r="J32" s="2" t="n">
        <v>46070</v>
      </c>
      <c r="K32" s="3" t="s">
        <v>314</v>
      </c>
      <c r="L32" s="2" t="n">
        <v>46070</v>
      </c>
      <c r="M32" s="3" t="s">
        <v>732</v>
      </c>
      <c r="N32" s="2" t="n">
        <v>46071</v>
      </c>
      <c r="O32" s="3" t="s">
        <v>733</v>
      </c>
      <c r="P32" s="3" t="s">
        <v>734</v>
      </c>
      <c r="Q32" s="2" t="n">
        <v>46073</v>
      </c>
      <c r="R32" s="3" t="s">
        <v>735</v>
      </c>
      <c r="S32" s="3" t="s">
        <v>136</v>
      </c>
      <c r="T32" s="3" t="s">
        <v>40</v>
      </c>
      <c r="U32" s="3" t="s">
        <v>40</v>
      </c>
      <c r="V32" s="3" t="s">
        <v>40</v>
      </c>
      <c r="X32" s="0" t="n">
        <v>1.5</v>
      </c>
      <c r="Y32" s="0" t="n">
        <v>3.5251</v>
      </c>
      <c r="Z32" s="0" t="n">
        <v>2</v>
      </c>
      <c r="AA32" s="0" t="n">
        <v>3</v>
      </c>
      <c r="AB32" s="4" t="n">
        <f aca="false">I32*AA32*Z32</f>
        <v>13932.9</v>
      </c>
      <c r="AC32" s="4" t="n">
        <f aca="false">AB32*1.18</f>
        <v>16440.822</v>
      </c>
      <c r="AD32" s="0" t="n">
        <v>0</v>
      </c>
    </row>
    <row r="33" customFormat="false" ht="15" hidden="false" customHeight="false" outlineLevel="0" collapsed="false">
      <c r="A33" s="0" t="s">
        <v>29</v>
      </c>
      <c r="B33" s="2" t="n">
        <v>46073</v>
      </c>
      <c r="C33" s="3" t="s">
        <v>736</v>
      </c>
      <c r="D33" s="3" t="s">
        <v>31</v>
      </c>
      <c r="E33" s="3" t="s">
        <v>32</v>
      </c>
      <c r="F33" s="3" t="s">
        <v>33</v>
      </c>
      <c r="G33" s="0" t="n">
        <v>20</v>
      </c>
      <c r="H33" s="0" t="n">
        <v>959.1</v>
      </c>
      <c r="I33" s="0" t="n">
        <v>959.12</v>
      </c>
      <c r="J33" s="2" t="n">
        <v>46072</v>
      </c>
      <c r="K33" s="3" t="s">
        <v>737</v>
      </c>
      <c r="L33" s="2" t="n">
        <v>46072</v>
      </c>
      <c r="M33" s="3" t="s">
        <v>738</v>
      </c>
      <c r="N33" s="2" t="n">
        <v>46073</v>
      </c>
      <c r="O33" s="3" t="s">
        <v>665</v>
      </c>
      <c r="P33" s="3" t="s">
        <v>739</v>
      </c>
      <c r="Q33" s="2" t="n">
        <v>46073</v>
      </c>
      <c r="R33" s="3" t="s">
        <v>740</v>
      </c>
      <c r="S33" s="3" t="s">
        <v>647</v>
      </c>
      <c r="T33" s="3" t="s">
        <v>40</v>
      </c>
      <c r="U33" s="3" t="s">
        <v>40</v>
      </c>
      <c r="V33" s="3" t="s">
        <v>40</v>
      </c>
      <c r="X33" s="0" t="n">
        <v>1.5</v>
      </c>
      <c r="Y33" s="0" t="n">
        <v>0.9482</v>
      </c>
      <c r="Z33" s="0" t="n">
        <v>-1</v>
      </c>
      <c r="AA33" s="0" t="n">
        <v>3</v>
      </c>
      <c r="AB33" s="4" t="n">
        <f aca="false">I33*AA33*Z33</f>
        <v>-2877.36</v>
      </c>
      <c r="AC33" s="4" t="n">
        <f aca="false">AB33*1.18</f>
        <v>-3395.2848</v>
      </c>
      <c r="AD33" s="0" t="n">
        <v>0</v>
      </c>
    </row>
    <row r="34" customFormat="false" ht="15" hidden="false" customHeight="false" outlineLevel="0" collapsed="false">
      <c r="A34" s="0" t="s">
        <v>29</v>
      </c>
      <c r="B34" s="2" t="n">
        <v>46073</v>
      </c>
      <c r="C34" s="3" t="s">
        <v>741</v>
      </c>
      <c r="D34" s="3" t="s">
        <v>31</v>
      </c>
      <c r="E34" s="3" t="s">
        <v>32</v>
      </c>
      <c r="F34" s="3" t="s">
        <v>33</v>
      </c>
      <c r="G34" s="0" t="n">
        <v>107</v>
      </c>
      <c r="H34" s="0" t="n">
        <v>790.37</v>
      </c>
      <c r="I34" s="0" t="n">
        <v>790.62</v>
      </c>
      <c r="J34" s="2" t="n">
        <v>46071</v>
      </c>
      <c r="K34" s="3" t="s">
        <v>742</v>
      </c>
      <c r="L34" s="2" t="n">
        <v>46071</v>
      </c>
      <c r="M34" s="3" t="s">
        <v>743</v>
      </c>
      <c r="N34" s="2" t="n">
        <v>46072</v>
      </c>
      <c r="O34" s="3" t="s">
        <v>744</v>
      </c>
      <c r="P34" s="3" t="s">
        <v>745</v>
      </c>
      <c r="Q34" s="2" t="n">
        <v>46073</v>
      </c>
      <c r="R34" s="3" t="s">
        <v>746</v>
      </c>
      <c r="S34" s="3" t="s">
        <v>61</v>
      </c>
      <c r="T34" s="3" t="s">
        <v>40</v>
      </c>
      <c r="U34" s="3" t="s">
        <v>40</v>
      </c>
      <c r="V34" s="3" t="s">
        <v>40</v>
      </c>
      <c r="X34" s="0" t="n">
        <v>1.5</v>
      </c>
      <c r="Y34" s="0" t="n">
        <v>1.0789</v>
      </c>
      <c r="Z34" s="0" t="n">
        <v>-1</v>
      </c>
      <c r="AA34" s="0" t="n">
        <v>3</v>
      </c>
      <c r="AB34" s="4" t="n">
        <f aca="false">I34*AA34*Z34</f>
        <v>-2371.86</v>
      </c>
      <c r="AC34" s="4" t="n">
        <f aca="false">AB34*1.18</f>
        <v>-2798.7948</v>
      </c>
      <c r="AD34" s="0" t="n">
        <v>0</v>
      </c>
    </row>
    <row r="35" customFormat="false" ht="15" hidden="false" customHeight="false" outlineLevel="0" collapsed="false">
      <c r="A35" s="0" t="s">
        <v>62</v>
      </c>
      <c r="B35" s="2" t="n">
        <v>46073</v>
      </c>
      <c r="C35" s="3" t="s">
        <v>747</v>
      </c>
      <c r="D35" s="3" t="s">
        <v>31</v>
      </c>
      <c r="E35" s="3" t="s">
        <v>32</v>
      </c>
      <c r="F35" s="3" t="s">
        <v>33</v>
      </c>
      <c r="G35" s="0" t="n">
        <v>64</v>
      </c>
      <c r="H35" s="0" t="n">
        <v>997.05</v>
      </c>
      <c r="I35" s="0" t="n">
        <v>997.54</v>
      </c>
      <c r="J35" s="2" t="n">
        <v>46072</v>
      </c>
      <c r="K35" s="3" t="s">
        <v>38</v>
      </c>
      <c r="L35" s="2" t="n">
        <v>46072</v>
      </c>
      <c r="M35" s="3" t="s">
        <v>748</v>
      </c>
      <c r="N35" s="2" t="n">
        <v>46073</v>
      </c>
      <c r="O35" s="3" t="s">
        <v>53</v>
      </c>
      <c r="P35" s="3" t="s">
        <v>749</v>
      </c>
      <c r="Q35" s="2" t="n">
        <v>46073</v>
      </c>
      <c r="R35" s="3" t="s">
        <v>411</v>
      </c>
      <c r="S35" s="3" t="s">
        <v>54</v>
      </c>
      <c r="T35" s="3" t="s">
        <v>40</v>
      </c>
      <c r="U35" s="3" t="s">
        <v>40</v>
      </c>
      <c r="V35" s="3" t="s">
        <v>40</v>
      </c>
      <c r="X35" s="0" t="n">
        <v>1.5</v>
      </c>
      <c r="Y35" s="0" t="n">
        <v>1.1501</v>
      </c>
      <c r="Z35" s="0" t="n">
        <v>-1</v>
      </c>
      <c r="AA35" s="0" t="n">
        <v>3</v>
      </c>
      <c r="AB35" s="4" t="n">
        <f aca="false">I35*AA35*Z35</f>
        <v>-2992.62</v>
      </c>
      <c r="AC35" s="4" t="n">
        <f aca="false">AB35*1.18</f>
        <v>-3531.2916</v>
      </c>
      <c r="AD35" s="0" t="n">
        <v>0</v>
      </c>
    </row>
    <row r="36" customFormat="false" ht="15" hidden="false" customHeight="false" outlineLevel="0" collapsed="false">
      <c r="A36" s="0" t="s">
        <v>62</v>
      </c>
      <c r="B36" s="2" t="n">
        <v>46073</v>
      </c>
      <c r="C36" s="3" t="s">
        <v>750</v>
      </c>
      <c r="D36" s="3" t="s">
        <v>31</v>
      </c>
      <c r="E36" s="3" t="s">
        <v>32</v>
      </c>
      <c r="F36" s="3" t="s">
        <v>33</v>
      </c>
      <c r="G36" s="0" t="n">
        <v>51</v>
      </c>
      <c r="H36" s="0" t="n">
        <v>1331.97</v>
      </c>
      <c r="I36" s="0" t="n">
        <v>1332.45</v>
      </c>
      <c r="J36" s="2" t="n">
        <v>46072</v>
      </c>
      <c r="K36" s="3" t="s">
        <v>324</v>
      </c>
      <c r="L36" s="2" t="n">
        <v>46072</v>
      </c>
      <c r="M36" s="3" t="s">
        <v>197</v>
      </c>
      <c r="N36" s="2" t="n">
        <v>46072</v>
      </c>
      <c r="O36" s="3" t="s">
        <v>751</v>
      </c>
      <c r="P36" s="3" t="s">
        <v>752</v>
      </c>
      <c r="Q36" s="2" t="n">
        <v>46073</v>
      </c>
      <c r="R36" s="3" t="s">
        <v>380</v>
      </c>
      <c r="S36" s="3" t="s">
        <v>109</v>
      </c>
      <c r="T36" s="3" t="s">
        <v>40</v>
      </c>
      <c r="U36" s="3" t="s">
        <v>40</v>
      </c>
      <c r="V36" s="3" t="s">
        <v>40</v>
      </c>
      <c r="X36" s="0" t="n">
        <v>1.5</v>
      </c>
      <c r="Y36" s="0" t="n">
        <v>3.6815</v>
      </c>
      <c r="Z36" s="0" t="n">
        <v>2</v>
      </c>
      <c r="AA36" s="0" t="n">
        <v>3</v>
      </c>
      <c r="AB36" s="4" t="n">
        <f aca="false">I36*AA36*Z36</f>
        <v>7994.7</v>
      </c>
      <c r="AC36" s="4" t="n">
        <f aca="false">AB36*1.18</f>
        <v>9433.746</v>
      </c>
      <c r="AD36" s="0" t="n">
        <v>0</v>
      </c>
    </row>
    <row r="37" customFormat="false" ht="15" hidden="false" customHeight="false" outlineLevel="0" collapsed="false">
      <c r="A37" s="0" t="s">
        <v>62</v>
      </c>
      <c r="B37" s="2" t="n">
        <v>46073</v>
      </c>
      <c r="C37" s="3" t="s">
        <v>753</v>
      </c>
      <c r="D37" s="3" t="s">
        <v>84</v>
      </c>
      <c r="E37" s="3" t="s">
        <v>32</v>
      </c>
      <c r="F37" s="3" t="s">
        <v>33</v>
      </c>
      <c r="G37" s="0" t="n">
        <v>122</v>
      </c>
      <c r="H37" s="0" t="n">
        <v>773.52</v>
      </c>
      <c r="I37" s="0" t="n">
        <v>1006</v>
      </c>
      <c r="J37" s="2" t="n">
        <v>46071</v>
      </c>
      <c r="K37" s="3" t="s">
        <v>754</v>
      </c>
      <c r="L37" s="2" t="n">
        <v>46071</v>
      </c>
      <c r="M37" s="3" t="s">
        <v>755</v>
      </c>
      <c r="N37" s="2" t="n">
        <v>46072</v>
      </c>
      <c r="O37" s="3" t="s">
        <v>756</v>
      </c>
      <c r="P37" s="3" t="s">
        <v>757</v>
      </c>
      <c r="Q37" s="2" t="n">
        <v>46073</v>
      </c>
      <c r="R37" s="3" t="s">
        <v>758</v>
      </c>
      <c r="S37" s="3" t="s">
        <v>179</v>
      </c>
      <c r="T37" s="3" t="s">
        <v>248</v>
      </c>
      <c r="U37" s="3" t="s">
        <v>248</v>
      </c>
      <c r="V37" s="3" t="s">
        <v>248</v>
      </c>
      <c r="X37" s="0" t="n">
        <v>1.5</v>
      </c>
      <c r="Y37" s="0" t="n">
        <v>1.247</v>
      </c>
      <c r="Z37" s="0" t="n">
        <v>-1</v>
      </c>
      <c r="AA37" s="0" t="n">
        <v>3</v>
      </c>
      <c r="AB37" s="4" t="n">
        <f aca="false">I37*AA37*Z37</f>
        <v>-3018</v>
      </c>
      <c r="AC37" s="4" t="n">
        <f aca="false">AB37*1.18</f>
        <v>-3561.24</v>
      </c>
      <c r="AD37" s="0" t="n">
        <v>0</v>
      </c>
    </row>
    <row r="38" customFormat="false" ht="15" hidden="false" customHeight="false" outlineLevel="0" collapsed="false">
      <c r="A38" s="0" t="s">
        <v>62</v>
      </c>
      <c r="B38" s="2" t="n">
        <v>46073</v>
      </c>
      <c r="C38" s="3" t="s">
        <v>759</v>
      </c>
      <c r="D38" s="3" t="s">
        <v>84</v>
      </c>
      <c r="E38" s="3" t="s">
        <v>32</v>
      </c>
      <c r="F38" s="3" t="s">
        <v>33</v>
      </c>
      <c r="G38" s="0" t="n">
        <v>100</v>
      </c>
      <c r="H38" s="0" t="n">
        <v>1013.07</v>
      </c>
      <c r="I38" s="0" t="n">
        <v>1317.14</v>
      </c>
      <c r="J38" s="2" t="n">
        <v>46072</v>
      </c>
      <c r="K38" s="3" t="s">
        <v>587</v>
      </c>
      <c r="L38" s="2" t="n">
        <v>46073</v>
      </c>
      <c r="M38" s="3" t="s">
        <v>421</v>
      </c>
      <c r="N38" s="2" t="n">
        <v>46072</v>
      </c>
      <c r="O38" s="3" t="s">
        <v>343</v>
      </c>
      <c r="P38" s="3" t="s">
        <v>760</v>
      </c>
      <c r="Q38" s="2" t="n">
        <v>46073</v>
      </c>
      <c r="R38" s="3" t="s">
        <v>761</v>
      </c>
      <c r="S38" s="3" t="s">
        <v>54</v>
      </c>
      <c r="T38" s="3" t="s">
        <v>40</v>
      </c>
      <c r="U38" s="3" t="s">
        <v>40</v>
      </c>
      <c r="V38" s="3" t="s">
        <v>40</v>
      </c>
      <c r="X38" s="0" t="n">
        <v>1.5</v>
      </c>
      <c r="Y38" s="0" t="n">
        <v>1.4918</v>
      </c>
      <c r="Z38" s="0" t="n">
        <v>-1</v>
      </c>
      <c r="AA38" s="0" t="n">
        <v>3</v>
      </c>
      <c r="AB38" s="4" t="n">
        <f aca="false">I38*AA38*Z38</f>
        <v>-3951.42</v>
      </c>
      <c r="AC38" s="4" t="n">
        <f aca="false">AB38*1.18</f>
        <v>-4662.6756</v>
      </c>
      <c r="AD38" s="0" t="n">
        <v>0</v>
      </c>
    </row>
    <row r="39" customFormat="false" ht="15" hidden="false" customHeight="false" outlineLevel="0" collapsed="false">
      <c r="A39" s="0" t="s">
        <v>62</v>
      </c>
      <c r="B39" s="2" t="n">
        <v>46073</v>
      </c>
      <c r="C39" s="3" t="s">
        <v>762</v>
      </c>
      <c r="D39" s="3" t="s">
        <v>31</v>
      </c>
      <c r="E39" s="3" t="s">
        <v>32</v>
      </c>
      <c r="F39" s="3" t="s">
        <v>33</v>
      </c>
      <c r="G39" s="0" t="n">
        <v>119</v>
      </c>
      <c r="H39" s="0" t="n">
        <v>2420.87</v>
      </c>
      <c r="I39" s="0" t="n">
        <v>2420.9</v>
      </c>
      <c r="J39" s="2" t="n">
        <v>46071</v>
      </c>
      <c r="K39" s="3" t="s">
        <v>697</v>
      </c>
      <c r="L39" s="2" t="n">
        <v>46071</v>
      </c>
      <c r="M39" s="3" t="s">
        <v>763</v>
      </c>
      <c r="N39" s="2" t="n">
        <v>46071</v>
      </c>
      <c r="O39" s="3" t="s">
        <v>764</v>
      </c>
      <c r="P39" s="3" t="s">
        <v>765</v>
      </c>
      <c r="Q39" s="2" t="n">
        <v>46073</v>
      </c>
      <c r="R39" s="3" t="s">
        <v>766</v>
      </c>
      <c r="S39" s="3" t="s">
        <v>647</v>
      </c>
      <c r="T39" s="3" t="s">
        <v>398</v>
      </c>
      <c r="U39" s="3" t="s">
        <v>398</v>
      </c>
      <c r="V39" s="3" t="s">
        <v>398</v>
      </c>
      <c r="X39" s="0" t="n">
        <v>1.5</v>
      </c>
      <c r="Y39" s="0" t="n">
        <v>1.0698</v>
      </c>
      <c r="Z39" s="0" t="n">
        <v>-1</v>
      </c>
      <c r="AA39" s="0" t="n">
        <v>12</v>
      </c>
      <c r="AB39" s="4" t="n">
        <f aca="false">I39*AA39*Z39</f>
        <v>-29050.8</v>
      </c>
      <c r="AC39" s="4" t="n">
        <f aca="false">AB39*1.18</f>
        <v>-34279.944</v>
      </c>
      <c r="AD39" s="0" t="n">
        <v>0</v>
      </c>
    </row>
    <row r="40" customFormat="false" ht="15" hidden="false" customHeight="false" outlineLevel="0" collapsed="false">
      <c r="A40" s="0" t="s">
        <v>29</v>
      </c>
      <c r="B40" s="2" t="n">
        <v>46074</v>
      </c>
      <c r="C40" s="3" t="s">
        <v>767</v>
      </c>
      <c r="D40" s="3" t="s">
        <v>31</v>
      </c>
      <c r="E40" s="3" t="s">
        <v>32</v>
      </c>
      <c r="F40" s="3" t="s">
        <v>33</v>
      </c>
      <c r="G40" s="0" t="n">
        <v>180</v>
      </c>
      <c r="H40" s="0" t="n">
        <v>281.74</v>
      </c>
      <c r="I40" s="0" t="n">
        <v>366.36</v>
      </c>
      <c r="J40" s="2" t="n">
        <v>46073</v>
      </c>
      <c r="K40" s="3" t="s">
        <v>258</v>
      </c>
      <c r="L40" s="2" t="n">
        <v>46074</v>
      </c>
      <c r="M40" s="3" t="s">
        <v>405</v>
      </c>
      <c r="N40" s="2" t="n">
        <v>46074</v>
      </c>
      <c r="O40" s="3" t="s">
        <v>768</v>
      </c>
      <c r="P40" s="3" t="s">
        <v>769</v>
      </c>
      <c r="Q40" s="2" t="n">
        <v>46074</v>
      </c>
      <c r="R40" s="3" t="s">
        <v>770</v>
      </c>
      <c r="S40" s="3" t="s">
        <v>142</v>
      </c>
      <c r="T40" s="3" t="s">
        <v>40</v>
      </c>
      <c r="U40" s="3" t="s">
        <v>40</v>
      </c>
      <c r="V40" s="3" t="s">
        <v>40</v>
      </c>
      <c r="X40" s="0" t="n">
        <v>1.5</v>
      </c>
      <c r="Y40" s="0" t="n">
        <v>2.7409</v>
      </c>
      <c r="Z40" s="0" t="n">
        <v>1</v>
      </c>
      <c r="AA40" s="0" t="n">
        <v>3</v>
      </c>
      <c r="AB40" s="4" t="n">
        <f aca="false">I40*AA40*Z40</f>
        <v>1099.08</v>
      </c>
      <c r="AC40" s="4" t="n">
        <f aca="false">AB40*1.18</f>
        <v>1296.9144</v>
      </c>
      <c r="AD40" s="0" t="n">
        <v>0</v>
      </c>
    </row>
    <row r="41" customFormat="false" ht="15" hidden="false" customHeight="false" outlineLevel="0" collapsed="false">
      <c r="A41" s="0" t="s">
        <v>29</v>
      </c>
      <c r="B41" s="2" t="n">
        <v>46074</v>
      </c>
      <c r="C41" s="3" t="s">
        <v>771</v>
      </c>
      <c r="D41" s="3" t="s">
        <v>31</v>
      </c>
      <c r="E41" s="3" t="s">
        <v>32</v>
      </c>
      <c r="F41" s="3" t="s">
        <v>33</v>
      </c>
      <c r="G41" s="0" t="n">
        <v>176</v>
      </c>
      <c r="H41" s="0" t="n">
        <v>563.72</v>
      </c>
      <c r="I41" s="0" t="n">
        <v>563.95</v>
      </c>
      <c r="J41" s="2" t="n">
        <v>46071</v>
      </c>
      <c r="K41" s="3" t="s">
        <v>772</v>
      </c>
      <c r="L41" s="2" t="n">
        <v>46072</v>
      </c>
      <c r="M41" s="3" t="s">
        <v>773</v>
      </c>
      <c r="N41" s="2" t="n">
        <v>46072</v>
      </c>
      <c r="O41" s="3" t="s">
        <v>774</v>
      </c>
      <c r="P41" s="3" t="s">
        <v>775</v>
      </c>
      <c r="Q41" s="2" t="n">
        <v>46074</v>
      </c>
      <c r="R41" s="3" t="s">
        <v>776</v>
      </c>
      <c r="S41" s="3" t="s">
        <v>136</v>
      </c>
      <c r="T41" s="3" t="s">
        <v>40</v>
      </c>
      <c r="U41" s="3" t="s">
        <v>40</v>
      </c>
      <c r="V41" s="3" t="s">
        <v>40</v>
      </c>
      <c r="X41" s="0" t="n">
        <v>1.5</v>
      </c>
      <c r="Y41" s="0" t="n">
        <v>4.184</v>
      </c>
      <c r="Z41" s="0" t="n">
        <v>3</v>
      </c>
      <c r="AA41" s="0" t="n">
        <v>3</v>
      </c>
      <c r="AB41" s="4" t="n">
        <f aca="false">I41*AA41*Z41</f>
        <v>5075.55</v>
      </c>
      <c r="AC41" s="4" t="n">
        <f aca="false">AB41*1.18</f>
        <v>5989.149</v>
      </c>
      <c r="AD41" s="0" t="n">
        <v>0</v>
      </c>
    </row>
    <row r="42" customFormat="false" ht="15" hidden="false" customHeight="false" outlineLevel="0" collapsed="false">
      <c r="A42" s="0" t="s">
        <v>29</v>
      </c>
      <c r="B42" s="2" t="n">
        <v>46074</v>
      </c>
      <c r="C42" s="3" t="s">
        <v>777</v>
      </c>
      <c r="D42" s="3" t="s">
        <v>31</v>
      </c>
      <c r="E42" s="3" t="s">
        <v>32</v>
      </c>
      <c r="F42" s="3" t="s">
        <v>33</v>
      </c>
      <c r="G42" s="0" t="n">
        <v>26</v>
      </c>
      <c r="H42" s="0" t="n">
        <v>2937.95</v>
      </c>
      <c r="I42" s="0" t="n">
        <v>2938.15</v>
      </c>
      <c r="J42" s="2" t="n">
        <v>46071</v>
      </c>
      <c r="K42" s="3" t="s">
        <v>778</v>
      </c>
      <c r="L42" s="2" t="n">
        <v>46071</v>
      </c>
      <c r="M42" s="3" t="s">
        <v>640</v>
      </c>
      <c r="N42" s="2" t="n">
        <v>46071</v>
      </c>
      <c r="O42" s="3" t="s">
        <v>71</v>
      </c>
      <c r="P42" s="3" t="s">
        <v>779</v>
      </c>
      <c r="Q42" s="2" t="n">
        <v>46074</v>
      </c>
      <c r="R42" s="3" t="s">
        <v>780</v>
      </c>
      <c r="S42" s="3" t="s">
        <v>69</v>
      </c>
      <c r="T42" s="3" t="s">
        <v>40</v>
      </c>
      <c r="U42" s="3" t="s">
        <v>40</v>
      </c>
      <c r="V42" s="3" t="s">
        <v>40</v>
      </c>
      <c r="X42" s="0" t="n">
        <v>1.5</v>
      </c>
      <c r="Y42" s="0" t="n">
        <v>4.976</v>
      </c>
      <c r="Z42" s="0" t="n">
        <v>3</v>
      </c>
      <c r="AA42" s="0" t="n">
        <v>3</v>
      </c>
      <c r="AB42" s="4" t="n">
        <f aca="false">I42*AA42*Z42</f>
        <v>26443.35</v>
      </c>
      <c r="AC42" s="4" t="n">
        <f aca="false">AB42*1.18</f>
        <v>31203.153</v>
      </c>
      <c r="AD42" s="0" t="n">
        <v>0</v>
      </c>
    </row>
    <row r="43" customFormat="false" ht="15" hidden="false" customHeight="false" outlineLevel="0" collapsed="false">
      <c r="A43" s="0" t="s">
        <v>62</v>
      </c>
      <c r="B43" s="2" t="n">
        <v>46074</v>
      </c>
      <c r="C43" s="3" t="s">
        <v>781</v>
      </c>
      <c r="D43" s="3" t="s">
        <v>31</v>
      </c>
      <c r="E43" s="3" t="s">
        <v>32</v>
      </c>
      <c r="F43" s="3" t="s">
        <v>33</v>
      </c>
      <c r="G43" s="0" t="n">
        <v>193</v>
      </c>
      <c r="H43" s="0" t="n">
        <v>2897.13</v>
      </c>
      <c r="I43" s="0" t="n">
        <v>3766.29</v>
      </c>
      <c r="J43" s="2" t="n">
        <v>46071</v>
      </c>
      <c r="K43" s="3" t="s">
        <v>782</v>
      </c>
      <c r="L43" s="2" t="n">
        <v>46072</v>
      </c>
      <c r="M43" s="3" t="s">
        <v>783</v>
      </c>
      <c r="N43" s="2" t="n">
        <v>46072</v>
      </c>
      <c r="O43" s="3" t="s">
        <v>784</v>
      </c>
      <c r="P43" s="3" t="s">
        <v>785</v>
      </c>
      <c r="Q43" s="2" t="n">
        <v>46074</v>
      </c>
      <c r="R43" s="3" t="s">
        <v>316</v>
      </c>
      <c r="S43" s="3" t="s">
        <v>179</v>
      </c>
      <c r="T43" s="3" t="s">
        <v>40</v>
      </c>
      <c r="U43" s="3" t="s">
        <v>40</v>
      </c>
      <c r="V43" s="3" t="s">
        <v>40</v>
      </c>
      <c r="X43" s="0" t="n">
        <v>1.5</v>
      </c>
      <c r="Y43" s="0" t="n">
        <v>2.5136</v>
      </c>
      <c r="Z43" s="0" t="n">
        <v>1</v>
      </c>
      <c r="AA43" s="0" t="n">
        <v>3</v>
      </c>
      <c r="AB43" s="4" t="n">
        <f aca="false">I43*AA43*Z43</f>
        <v>11298.87</v>
      </c>
      <c r="AC43" s="4" t="n">
        <f aca="false">AB43*1.18</f>
        <v>13332.6666</v>
      </c>
      <c r="AD43" s="0" t="n">
        <v>0</v>
      </c>
    </row>
    <row r="44" customFormat="false" ht="15" hidden="false" customHeight="false" outlineLevel="0" collapsed="false">
      <c r="A44" s="0" t="s">
        <v>29</v>
      </c>
      <c r="B44" s="2" t="n">
        <v>46075</v>
      </c>
      <c r="C44" s="3" t="s">
        <v>786</v>
      </c>
      <c r="D44" s="3" t="s">
        <v>31</v>
      </c>
      <c r="E44" s="3" t="s">
        <v>32</v>
      </c>
      <c r="F44" s="3" t="s">
        <v>33</v>
      </c>
      <c r="G44" s="0" t="n">
        <v>206</v>
      </c>
      <c r="H44" s="0" t="n">
        <v>2486.82</v>
      </c>
      <c r="I44" s="0" t="n">
        <v>3233.15</v>
      </c>
      <c r="J44" s="2" t="n">
        <v>46073</v>
      </c>
      <c r="K44" s="3" t="s">
        <v>787</v>
      </c>
      <c r="L44" s="2" t="n">
        <v>46073</v>
      </c>
      <c r="M44" s="3" t="s">
        <v>788</v>
      </c>
      <c r="N44" s="2" t="n">
        <v>46074</v>
      </c>
      <c r="O44" s="3" t="s">
        <v>789</v>
      </c>
      <c r="P44" s="3" t="s">
        <v>790</v>
      </c>
      <c r="Q44" s="2" t="n">
        <v>46075</v>
      </c>
      <c r="R44" s="3" t="s">
        <v>791</v>
      </c>
      <c r="S44" s="3" t="s">
        <v>109</v>
      </c>
      <c r="T44" s="3" t="s">
        <v>40</v>
      </c>
      <c r="U44" s="3" t="s">
        <v>40</v>
      </c>
      <c r="V44" s="3" t="s">
        <v>40</v>
      </c>
      <c r="X44" s="0" t="n">
        <v>1.5</v>
      </c>
      <c r="Y44" s="0" t="n">
        <v>5.0888</v>
      </c>
      <c r="Z44" s="0" t="n">
        <v>4</v>
      </c>
      <c r="AA44" s="0" t="n">
        <v>3</v>
      </c>
      <c r="AB44" s="4" t="n">
        <f aca="false">I44*AA44*Z44</f>
        <v>38797.8</v>
      </c>
      <c r="AC44" s="4" t="n">
        <f aca="false">AB44*1.18</f>
        <v>45781.404</v>
      </c>
      <c r="AD44" s="0" t="n">
        <v>0</v>
      </c>
    </row>
    <row r="45" customFormat="false" ht="15" hidden="false" customHeight="false" outlineLevel="0" collapsed="false">
      <c r="A45" s="0" t="s">
        <v>29</v>
      </c>
      <c r="B45" s="2" t="n">
        <v>46075</v>
      </c>
      <c r="C45" s="3" t="s">
        <v>792</v>
      </c>
      <c r="D45" s="3" t="s">
        <v>31</v>
      </c>
      <c r="E45" s="3" t="s">
        <v>32</v>
      </c>
      <c r="F45" s="3" t="s">
        <v>33</v>
      </c>
      <c r="G45" s="0" t="n">
        <v>35</v>
      </c>
      <c r="H45" s="0" t="n">
        <v>1746.2</v>
      </c>
      <c r="I45" s="0" t="n">
        <v>2619.5</v>
      </c>
      <c r="J45" s="2" t="n">
        <v>46072</v>
      </c>
      <c r="K45" s="3" t="s">
        <v>793</v>
      </c>
      <c r="L45" s="2" t="n">
        <v>46072</v>
      </c>
      <c r="M45" s="3" t="s">
        <v>794</v>
      </c>
      <c r="N45" s="2" t="n">
        <v>46072</v>
      </c>
      <c r="O45" s="3" t="s">
        <v>795</v>
      </c>
      <c r="P45" s="3" t="s">
        <v>796</v>
      </c>
      <c r="Q45" s="2" t="n">
        <v>46075</v>
      </c>
      <c r="R45" s="3" t="s">
        <v>797</v>
      </c>
      <c r="S45" s="3" t="s">
        <v>179</v>
      </c>
      <c r="T45" s="3" t="s">
        <v>40</v>
      </c>
      <c r="U45" s="3" t="s">
        <v>40</v>
      </c>
      <c r="V45" s="3" t="s">
        <v>40</v>
      </c>
      <c r="X45" s="0" t="n">
        <v>1.5</v>
      </c>
      <c r="Y45" s="0" t="n">
        <v>3.309</v>
      </c>
      <c r="Z45" s="0" t="n">
        <v>2</v>
      </c>
      <c r="AA45" s="0" t="n">
        <v>3</v>
      </c>
      <c r="AB45" s="4" t="n">
        <f aca="false">I45*AA45*Z45</f>
        <v>15717</v>
      </c>
      <c r="AC45" s="4" t="n">
        <f aca="false">AB45*1.18</f>
        <v>18546.06</v>
      </c>
      <c r="AD45" s="0" t="n">
        <v>0</v>
      </c>
    </row>
    <row r="46" customFormat="false" ht="15" hidden="false" customHeight="false" outlineLevel="0" collapsed="false">
      <c r="A46" s="0" t="s">
        <v>62</v>
      </c>
      <c r="B46" s="2" t="n">
        <v>46075</v>
      </c>
      <c r="C46" s="3" t="s">
        <v>798</v>
      </c>
      <c r="D46" s="3" t="s">
        <v>31</v>
      </c>
      <c r="E46" s="3" t="s">
        <v>32</v>
      </c>
      <c r="F46" s="3" t="s">
        <v>33</v>
      </c>
      <c r="G46" s="0" t="n">
        <v>192</v>
      </c>
      <c r="H46" s="0" t="n">
        <v>2434.82</v>
      </c>
      <c r="I46" s="0" t="n">
        <v>2678.41</v>
      </c>
      <c r="J46" s="2" t="n">
        <v>46074</v>
      </c>
      <c r="K46" s="3" t="s">
        <v>799</v>
      </c>
      <c r="L46" s="2" t="n">
        <v>46074</v>
      </c>
      <c r="M46" s="3" t="s">
        <v>800</v>
      </c>
      <c r="N46" s="2" t="n">
        <v>46075</v>
      </c>
      <c r="O46" s="3" t="s">
        <v>459</v>
      </c>
      <c r="P46" s="3" t="s">
        <v>801</v>
      </c>
      <c r="Q46" s="2" t="n">
        <v>46075</v>
      </c>
      <c r="R46" s="3" t="s">
        <v>802</v>
      </c>
      <c r="S46" s="3" t="s">
        <v>149</v>
      </c>
      <c r="T46" s="3" t="s">
        <v>90</v>
      </c>
      <c r="U46" s="3" t="s">
        <v>90</v>
      </c>
      <c r="V46" s="3" t="s">
        <v>90</v>
      </c>
      <c r="X46" s="0" t="n">
        <v>1.5</v>
      </c>
      <c r="Y46" s="0" t="n">
        <v>2.5719</v>
      </c>
      <c r="Z46" s="0" t="n">
        <v>1</v>
      </c>
      <c r="AA46" s="0" t="n">
        <v>3</v>
      </c>
      <c r="AB46" s="4" t="n">
        <f aca="false">I46*AA46*Z46</f>
        <v>8035.23</v>
      </c>
      <c r="AC46" s="4" t="n">
        <f aca="false">AB46*1.18</f>
        <v>9481.5714</v>
      </c>
      <c r="AD46" s="0" t="n">
        <v>0</v>
      </c>
    </row>
    <row r="47" customFormat="false" ht="15" hidden="false" customHeight="false" outlineLevel="0" collapsed="false">
      <c r="A47" s="0" t="s">
        <v>62</v>
      </c>
      <c r="B47" s="2" t="n">
        <v>46075</v>
      </c>
      <c r="C47" s="3" t="s">
        <v>803</v>
      </c>
      <c r="D47" s="3" t="s">
        <v>31</v>
      </c>
      <c r="E47" s="3" t="s">
        <v>32</v>
      </c>
      <c r="F47" s="3" t="s">
        <v>33</v>
      </c>
      <c r="G47" s="0" t="n">
        <v>63</v>
      </c>
      <c r="H47" s="0" t="n">
        <v>949.11</v>
      </c>
      <c r="I47" s="0" t="n">
        <v>1044.36</v>
      </c>
      <c r="J47" s="2" t="n">
        <v>46073</v>
      </c>
      <c r="K47" s="3" t="s">
        <v>86</v>
      </c>
      <c r="L47" s="2" t="n">
        <v>46073</v>
      </c>
      <c r="M47" s="3" t="s">
        <v>804</v>
      </c>
      <c r="N47" s="2" t="n">
        <v>46073</v>
      </c>
      <c r="O47" s="3" t="s">
        <v>805</v>
      </c>
      <c r="P47" s="3" t="s">
        <v>806</v>
      </c>
      <c r="Q47" s="2" t="n">
        <v>46075</v>
      </c>
      <c r="R47" s="3" t="s">
        <v>807</v>
      </c>
      <c r="S47" s="3" t="s">
        <v>149</v>
      </c>
      <c r="T47" s="3" t="s">
        <v>40</v>
      </c>
      <c r="U47" s="3" t="s">
        <v>40</v>
      </c>
      <c r="V47" s="3" t="s">
        <v>40</v>
      </c>
      <c r="X47" s="0" t="n">
        <v>1.5</v>
      </c>
      <c r="Y47" s="0" t="n">
        <v>2.2611</v>
      </c>
      <c r="Z47" s="0" t="n">
        <v>1</v>
      </c>
      <c r="AA47" s="0" t="n">
        <v>3</v>
      </c>
      <c r="AB47" s="4" t="n">
        <f aca="false">I47*AA47*Z47</f>
        <v>3133.08</v>
      </c>
      <c r="AC47" s="4" t="n">
        <f aca="false">AB47*1.18</f>
        <v>3697.0344</v>
      </c>
      <c r="AD47" s="0" t="n">
        <v>0</v>
      </c>
    </row>
    <row r="48" customFormat="false" ht="15" hidden="false" customHeight="false" outlineLevel="0" collapsed="false">
      <c r="A48" s="0" t="s">
        <v>62</v>
      </c>
      <c r="B48" s="2" t="n">
        <v>46075</v>
      </c>
      <c r="C48" s="3" t="s">
        <v>808</v>
      </c>
      <c r="D48" s="3" t="s">
        <v>31</v>
      </c>
      <c r="E48" s="3" t="s">
        <v>32</v>
      </c>
      <c r="F48" s="3" t="s">
        <v>33</v>
      </c>
      <c r="G48" s="0" t="n">
        <v>192</v>
      </c>
      <c r="H48" s="0" t="n">
        <v>544.95</v>
      </c>
      <c r="I48" s="0" t="n">
        <v>545.41</v>
      </c>
      <c r="J48" s="2" t="n">
        <v>46072</v>
      </c>
      <c r="K48" s="3" t="s">
        <v>809</v>
      </c>
      <c r="L48" s="2" t="n">
        <v>46072</v>
      </c>
      <c r="M48" s="3" t="s">
        <v>810</v>
      </c>
      <c r="N48" s="2" t="n">
        <v>46073</v>
      </c>
      <c r="O48" s="3" t="s">
        <v>617</v>
      </c>
      <c r="P48" s="3" t="s">
        <v>811</v>
      </c>
      <c r="Q48" s="2" t="n">
        <v>46075</v>
      </c>
      <c r="R48" s="3" t="s">
        <v>812</v>
      </c>
      <c r="S48" s="3" t="s">
        <v>109</v>
      </c>
      <c r="T48" s="3" t="s">
        <v>40</v>
      </c>
      <c r="U48" s="3" t="s">
        <v>40</v>
      </c>
      <c r="V48" s="3" t="s">
        <v>40</v>
      </c>
      <c r="X48" s="0" t="n">
        <v>1.5</v>
      </c>
      <c r="Y48" s="0" t="n">
        <v>5.1213</v>
      </c>
      <c r="Z48" s="0" t="n">
        <v>4</v>
      </c>
      <c r="AA48" s="0" t="n">
        <v>3</v>
      </c>
      <c r="AB48" s="4" t="n">
        <f aca="false">I48*AA48*Z48</f>
        <v>6544.92</v>
      </c>
      <c r="AC48" s="4" t="n">
        <f aca="false">AB48*1.18</f>
        <v>7723.0056</v>
      </c>
      <c r="AD48" s="0" t="n">
        <v>0</v>
      </c>
    </row>
    <row r="49" customFormat="false" ht="15" hidden="false" customHeight="false" outlineLevel="0" collapsed="false">
      <c r="A49" s="0" t="s">
        <v>29</v>
      </c>
      <c r="B49" s="2" t="n">
        <v>46076</v>
      </c>
      <c r="C49" s="3" t="s">
        <v>813</v>
      </c>
      <c r="D49" s="3" t="s">
        <v>31</v>
      </c>
      <c r="E49" s="3" t="s">
        <v>32</v>
      </c>
      <c r="F49" s="3" t="s">
        <v>33</v>
      </c>
      <c r="G49" s="0" t="n">
        <v>164</v>
      </c>
      <c r="H49" s="0" t="n">
        <v>2450.76</v>
      </c>
      <c r="I49" s="0" t="n">
        <v>2696.28</v>
      </c>
      <c r="J49" s="2" t="n">
        <v>46075</v>
      </c>
      <c r="K49" s="3" t="s">
        <v>814</v>
      </c>
      <c r="L49" s="2" t="n">
        <v>46075</v>
      </c>
      <c r="M49" s="3" t="s">
        <v>815</v>
      </c>
      <c r="N49" s="2" t="n">
        <v>46075</v>
      </c>
      <c r="O49" s="3" t="s">
        <v>816</v>
      </c>
      <c r="P49" s="3" t="s">
        <v>817</v>
      </c>
      <c r="Q49" s="2" t="n">
        <v>46076</v>
      </c>
      <c r="R49" s="3" t="s">
        <v>818</v>
      </c>
      <c r="S49" s="3" t="s">
        <v>109</v>
      </c>
      <c r="T49" s="3" t="s">
        <v>40</v>
      </c>
      <c r="U49" s="3" t="s">
        <v>40</v>
      </c>
      <c r="V49" s="3" t="s">
        <v>40</v>
      </c>
      <c r="X49" s="0" t="n">
        <v>1.5</v>
      </c>
      <c r="Y49" s="0" t="n">
        <v>4.2847</v>
      </c>
      <c r="Z49" s="0" t="n">
        <v>3</v>
      </c>
      <c r="AA49" s="0" t="n">
        <v>3</v>
      </c>
      <c r="AB49" s="4" t="n">
        <f aca="false">I49*AA49*Z49</f>
        <v>24266.52</v>
      </c>
      <c r="AC49" s="4" t="n">
        <f aca="false">AB49*1.18</f>
        <v>28634.4936</v>
      </c>
      <c r="AD49" s="0" t="n">
        <v>0</v>
      </c>
    </row>
    <row r="50" customFormat="false" ht="15" hidden="false" customHeight="false" outlineLevel="0" collapsed="false">
      <c r="A50" s="0" t="s">
        <v>29</v>
      </c>
      <c r="B50" s="2" t="n">
        <v>46076</v>
      </c>
      <c r="C50" s="3" t="s">
        <v>819</v>
      </c>
      <c r="D50" s="3" t="s">
        <v>84</v>
      </c>
      <c r="E50" s="3" t="s">
        <v>32</v>
      </c>
      <c r="F50" s="3" t="s">
        <v>33</v>
      </c>
      <c r="G50" s="0" t="n">
        <v>140</v>
      </c>
      <c r="H50" s="0" t="n">
        <v>912.38</v>
      </c>
      <c r="I50" s="0" t="n">
        <v>912.65</v>
      </c>
      <c r="J50" s="2" t="n">
        <v>46075</v>
      </c>
      <c r="K50" s="3" t="s">
        <v>820</v>
      </c>
      <c r="L50" s="2" t="n">
        <v>46075</v>
      </c>
      <c r="M50" s="3" t="s">
        <v>208</v>
      </c>
      <c r="N50" s="2" t="n">
        <v>46076</v>
      </c>
      <c r="O50" s="3" t="s">
        <v>821</v>
      </c>
      <c r="P50" s="3" t="s">
        <v>822</v>
      </c>
      <c r="Q50" s="2" t="n">
        <v>46076</v>
      </c>
      <c r="R50" s="3" t="s">
        <v>200</v>
      </c>
      <c r="S50" s="3" t="s">
        <v>54</v>
      </c>
      <c r="T50" s="3" t="s">
        <v>40</v>
      </c>
      <c r="U50" s="3" t="s">
        <v>40</v>
      </c>
      <c r="V50" s="3" t="s">
        <v>40</v>
      </c>
      <c r="X50" s="0" t="n">
        <v>1.5</v>
      </c>
      <c r="Y50" s="0" t="n">
        <v>0.6168</v>
      </c>
      <c r="Z50" s="0" t="n">
        <v>-1</v>
      </c>
      <c r="AA50" s="0" t="n">
        <v>3</v>
      </c>
      <c r="AB50" s="4" t="n">
        <f aca="false">I50*AA50*Z50</f>
        <v>-2737.95</v>
      </c>
      <c r="AC50" s="4" t="n">
        <f aca="false">AB50*1.18</f>
        <v>-3230.781</v>
      </c>
      <c r="AD50" s="0" t="n">
        <v>0</v>
      </c>
    </row>
    <row r="51" customFormat="false" ht="15" hidden="false" customHeight="false" outlineLevel="0" collapsed="false">
      <c r="A51" s="0" t="s">
        <v>29</v>
      </c>
      <c r="B51" s="2" t="n">
        <v>46076</v>
      </c>
      <c r="C51" s="3" t="s">
        <v>823</v>
      </c>
      <c r="D51" s="3" t="s">
        <v>31</v>
      </c>
      <c r="E51" s="3" t="s">
        <v>32</v>
      </c>
      <c r="F51" s="3" t="s">
        <v>33</v>
      </c>
      <c r="G51" s="0" t="n">
        <v>75</v>
      </c>
      <c r="H51" s="0" t="n">
        <v>3143.08</v>
      </c>
      <c r="I51" s="0" t="n">
        <v>3143.54</v>
      </c>
      <c r="J51" s="2" t="n">
        <v>46075</v>
      </c>
      <c r="K51" s="3" t="s">
        <v>619</v>
      </c>
      <c r="L51" s="2" t="n">
        <v>46076</v>
      </c>
      <c r="M51" s="3" t="s">
        <v>824</v>
      </c>
      <c r="N51" s="2" t="n">
        <v>46076</v>
      </c>
      <c r="O51" s="3" t="s">
        <v>825</v>
      </c>
      <c r="P51" s="3" t="s">
        <v>826</v>
      </c>
      <c r="Q51" s="2" t="n">
        <v>46076</v>
      </c>
      <c r="R51" s="3" t="s">
        <v>43</v>
      </c>
      <c r="S51" s="3" t="s">
        <v>241</v>
      </c>
      <c r="T51" s="3" t="s">
        <v>40</v>
      </c>
      <c r="U51" s="3" t="s">
        <v>40</v>
      </c>
      <c r="V51" s="3" t="s">
        <v>40</v>
      </c>
      <c r="X51" s="0" t="n">
        <v>1.5</v>
      </c>
      <c r="Y51" s="0" t="n">
        <v>5.4759</v>
      </c>
      <c r="Z51" s="0" t="n">
        <v>4</v>
      </c>
      <c r="AA51" s="0" t="n">
        <v>3</v>
      </c>
      <c r="AB51" s="4" t="n">
        <f aca="false">I51*AA51*Z51</f>
        <v>37722.48</v>
      </c>
      <c r="AC51" s="4" t="n">
        <f aca="false">AB51*1.18</f>
        <v>44512.5264</v>
      </c>
      <c r="AD51" s="0" t="n">
        <v>0</v>
      </c>
    </row>
    <row r="52" customFormat="false" ht="15" hidden="false" customHeight="false" outlineLevel="0" collapsed="false">
      <c r="A52" s="0" t="s">
        <v>62</v>
      </c>
      <c r="B52" s="2" t="n">
        <v>46076</v>
      </c>
      <c r="C52" s="3" t="s">
        <v>827</v>
      </c>
      <c r="D52" s="3" t="s">
        <v>31</v>
      </c>
      <c r="E52" s="3" t="s">
        <v>32</v>
      </c>
      <c r="F52" s="3" t="s">
        <v>33</v>
      </c>
      <c r="G52" s="0" t="n">
        <v>132</v>
      </c>
      <c r="H52" s="0" t="n">
        <v>2632.26</v>
      </c>
      <c r="I52" s="0" t="n">
        <v>2895.61</v>
      </c>
      <c r="J52" s="2" t="n">
        <v>46073</v>
      </c>
      <c r="K52" s="3" t="s">
        <v>828</v>
      </c>
      <c r="L52" s="2" t="n">
        <v>46074</v>
      </c>
      <c r="M52" s="3" t="s">
        <v>829</v>
      </c>
      <c r="N52" s="2" t="n">
        <v>46074</v>
      </c>
      <c r="O52" s="3" t="s">
        <v>830</v>
      </c>
      <c r="P52" s="3" t="s">
        <v>831</v>
      </c>
      <c r="Q52" s="2" t="n">
        <v>46076</v>
      </c>
      <c r="R52" s="3" t="s">
        <v>325</v>
      </c>
      <c r="S52" s="3" t="s">
        <v>241</v>
      </c>
      <c r="T52" s="3" t="s">
        <v>40</v>
      </c>
      <c r="U52" s="3" t="s">
        <v>40</v>
      </c>
      <c r="V52" s="3" t="s">
        <v>40</v>
      </c>
      <c r="X52" s="0" t="n">
        <v>1.5</v>
      </c>
      <c r="Y52" s="0" t="n">
        <v>2.7355</v>
      </c>
      <c r="Z52" s="0" t="n">
        <v>1</v>
      </c>
      <c r="AA52" s="0" t="n">
        <v>3</v>
      </c>
      <c r="AB52" s="4" t="n">
        <f aca="false">I52*AA52*Z52</f>
        <v>8686.83</v>
      </c>
      <c r="AC52" s="4" t="n">
        <f aca="false">AB52*1.18</f>
        <v>10250.4594</v>
      </c>
      <c r="AD52" s="0" t="n">
        <v>0</v>
      </c>
    </row>
    <row r="53" customFormat="false" ht="15" hidden="false" customHeight="false" outlineLevel="0" collapsed="false">
      <c r="A53" s="0" t="s">
        <v>62</v>
      </c>
      <c r="B53" s="2" t="n">
        <v>46076</v>
      </c>
      <c r="C53" s="3" t="s">
        <v>832</v>
      </c>
      <c r="D53" s="3" t="s">
        <v>84</v>
      </c>
      <c r="E53" s="3" t="s">
        <v>32</v>
      </c>
      <c r="F53" s="3" t="s">
        <v>33</v>
      </c>
      <c r="G53" s="0" t="n">
        <v>213</v>
      </c>
      <c r="H53" s="0" t="n">
        <v>996.79</v>
      </c>
      <c r="I53" s="0" t="n">
        <v>997.2</v>
      </c>
      <c r="J53" s="2" t="n">
        <v>46073</v>
      </c>
      <c r="K53" s="3" t="s">
        <v>833</v>
      </c>
      <c r="L53" s="2" t="n">
        <v>46073</v>
      </c>
      <c r="M53" s="3" t="s">
        <v>834</v>
      </c>
      <c r="N53" s="2" t="n">
        <v>46073</v>
      </c>
      <c r="O53" s="3" t="s">
        <v>835</v>
      </c>
      <c r="P53" s="3" t="s">
        <v>836</v>
      </c>
      <c r="Q53" s="2" t="n">
        <v>46076</v>
      </c>
      <c r="R53" s="3" t="s">
        <v>257</v>
      </c>
      <c r="S53" s="3" t="s">
        <v>39</v>
      </c>
      <c r="T53" s="3" t="s">
        <v>40</v>
      </c>
      <c r="U53" s="3" t="s">
        <v>40</v>
      </c>
      <c r="V53" s="3" t="s">
        <v>40</v>
      </c>
      <c r="X53" s="0" t="n">
        <v>1.5</v>
      </c>
      <c r="Y53" s="0" t="n">
        <v>1.0554</v>
      </c>
      <c r="Z53" s="0" t="n">
        <v>-1</v>
      </c>
      <c r="AA53" s="0" t="n">
        <v>3</v>
      </c>
      <c r="AB53" s="4" t="n">
        <f aca="false">I53*AA53*Z53</f>
        <v>-2991.6</v>
      </c>
      <c r="AC53" s="4" t="n">
        <f aca="false">AB53*1.18</f>
        <v>-3530.088</v>
      </c>
      <c r="AD53" s="0" t="n">
        <v>0</v>
      </c>
    </row>
    <row r="54" customFormat="false" ht="15" hidden="false" customHeight="false" outlineLevel="0" collapsed="false">
      <c r="A54" s="0" t="s">
        <v>29</v>
      </c>
      <c r="B54" s="2" t="n">
        <v>46077</v>
      </c>
      <c r="C54" s="3" t="s">
        <v>837</v>
      </c>
      <c r="D54" s="3" t="s">
        <v>31</v>
      </c>
      <c r="E54" s="3" t="s">
        <v>32</v>
      </c>
      <c r="F54" s="3" t="s">
        <v>33</v>
      </c>
      <c r="G54" s="0" t="n">
        <v>78</v>
      </c>
      <c r="H54" s="0" t="n">
        <v>2479.46</v>
      </c>
      <c r="I54" s="0" t="n">
        <v>2479.82</v>
      </c>
      <c r="J54" s="2" t="n">
        <v>46076</v>
      </c>
      <c r="K54" s="3" t="s">
        <v>838</v>
      </c>
      <c r="L54" s="2" t="n">
        <v>46077</v>
      </c>
      <c r="M54" s="3" t="s">
        <v>331</v>
      </c>
      <c r="N54" s="2" t="n">
        <v>46076</v>
      </c>
      <c r="O54" s="3" t="s">
        <v>839</v>
      </c>
      <c r="P54" s="3" t="s">
        <v>840</v>
      </c>
      <c r="Q54" s="2" t="n">
        <v>46077</v>
      </c>
      <c r="R54" s="3" t="s">
        <v>841</v>
      </c>
      <c r="S54" s="3" t="s">
        <v>142</v>
      </c>
      <c r="T54" s="3" t="s">
        <v>40</v>
      </c>
      <c r="U54" s="3" t="s">
        <v>40</v>
      </c>
      <c r="V54" s="3" t="s">
        <v>40</v>
      </c>
      <c r="X54" s="0" t="n">
        <v>1.5</v>
      </c>
      <c r="Y54" s="0" t="n">
        <v>1.0138</v>
      </c>
      <c r="Z54" s="0" t="n">
        <v>-1</v>
      </c>
      <c r="AA54" s="0" t="n">
        <v>3</v>
      </c>
      <c r="AB54" s="4" t="n">
        <f aca="false">I54*AA54*Z54</f>
        <v>-7439.46</v>
      </c>
      <c r="AC54" s="4" t="n">
        <f aca="false">AB54*1.18</f>
        <v>-8778.5628</v>
      </c>
      <c r="AD54" s="0" t="n">
        <v>0</v>
      </c>
    </row>
    <row r="55" customFormat="false" ht="15" hidden="false" customHeight="false" outlineLevel="0" collapsed="false">
      <c r="A55" s="0" t="s">
        <v>62</v>
      </c>
      <c r="B55" s="2" t="n">
        <v>46077</v>
      </c>
      <c r="C55" s="3" t="s">
        <v>842</v>
      </c>
      <c r="D55" s="3" t="s">
        <v>31</v>
      </c>
      <c r="E55" s="3" t="s">
        <v>32</v>
      </c>
      <c r="F55" s="3" t="s">
        <v>33</v>
      </c>
      <c r="G55" s="0" t="n">
        <v>109</v>
      </c>
      <c r="H55" s="0" t="n">
        <v>333.82</v>
      </c>
      <c r="I55" s="0" t="n">
        <v>500.91</v>
      </c>
      <c r="J55" s="2" t="n">
        <v>46076</v>
      </c>
      <c r="K55" s="3" t="s">
        <v>843</v>
      </c>
      <c r="L55" s="2" t="n">
        <v>46076</v>
      </c>
      <c r="M55" s="3" t="s">
        <v>96</v>
      </c>
      <c r="N55" s="2" t="n">
        <v>46077</v>
      </c>
      <c r="O55" s="3" t="s">
        <v>844</v>
      </c>
      <c r="P55" s="3" t="s">
        <v>845</v>
      </c>
      <c r="Q55" s="2" t="n">
        <v>46077</v>
      </c>
      <c r="R55" s="3" t="s">
        <v>846</v>
      </c>
      <c r="S55" s="3" t="s">
        <v>261</v>
      </c>
      <c r="T55" s="3" t="s">
        <v>40</v>
      </c>
      <c r="U55" s="3" t="s">
        <v>40</v>
      </c>
      <c r="V55" s="3" t="s">
        <v>40</v>
      </c>
      <c r="X55" s="0" t="n">
        <v>1.5</v>
      </c>
      <c r="Y55" s="0" t="n">
        <v>1.553</v>
      </c>
      <c r="Z55" s="0" t="n">
        <v>1</v>
      </c>
      <c r="AA55" s="0" t="n">
        <v>3</v>
      </c>
      <c r="AB55" s="4" t="n">
        <f aca="false">I55*AA55*Z55</f>
        <v>1502.73</v>
      </c>
      <c r="AC55" s="4" t="n">
        <f aca="false">AB55*1.18</f>
        <v>1773.2214</v>
      </c>
      <c r="AD55" s="0" t="n">
        <v>0</v>
      </c>
    </row>
    <row r="56" customFormat="false" ht="15" hidden="false" customHeight="false" outlineLevel="0" collapsed="false">
      <c r="A56" s="0" t="s">
        <v>62</v>
      </c>
      <c r="B56" s="2" t="n">
        <v>46077</v>
      </c>
      <c r="C56" s="3" t="s">
        <v>847</v>
      </c>
      <c r="D56" s="3" t="s">
        <v>31</v>
      </c>
      <c r="E56" s="3" t="s">
        <v>32</v>
      </c>
      <c r="F56" s="3" t="s">
        <v>33</v>
      </c>
      <c r="G56" s="0" t="n">
        <v>32</v>
      </c>
      <c r="H56" s="0" t="n">
        <v>287.1</v>
      </c>
      <c r="I56" s="0" t="n">
        <v>287.54</v>
      </c>
      <c r="J56" s="2" t="n">
        <v>46075</v>
      </c>
      <c r="K56" s="3" t="s">
        <v>848</v>
      </c>
      <c r="L56" s="2" t="n">
        <v>46075</v>
      </c>
      <c r="M56" s="3" t="s">
        <v>807</v>
      </c>
      <c r="N56" s="2" t="n">
        <v>46076</v>
      </c>
      <c r="O56" s="3" t="s">
        <v>849</v>
      </c>
      <c r="P56" s="3" t="s">
        <v>850</v>
      </c>
      <c r="Q56" s="2" t="n">
        <v>46077</v>
      </c>
      <c r="R56" s="3" t="s">
        <v>851</v>
      </c>
      <c r="S56" s="3" t="s">
        <v>149</v>
      </c>
      <c r="T56" s="3" t="s">
        <v>354</v>
      </c>
      <c r="U56" s="3" t="s">
        <v>354</v>
      </c>
      <c r="V56" s="3" t="s">
        <v>354</v>
      </c>
      <c r="X56" s="0" t="n">
        <v>1.5</v>
      </c>
      <c r="Y56" s="0" t="n">
        <v>3.0445</v>
      </c>
      <c r="Z56" s="0" t="n">
        <v>2</v>
      </c>
      <c r="AA56" s="0" t="n">
        <v>12</v>
      </c>
      <c r="AB56" s="4" t="n">
        <f aca="false">I56*AA56*Z56</f>
        <v>6900.96</v>
      </c>
      <c r="AC56" s="4" t="n">
        <f aca="false">AB56*1.18</f>
        <v>8143.1328</v>
      </c>
      <c r="AD56" s="0" t="n">
        <v>0</v>
      </c>
    </row>
    <row r="57" customFormat="false" ht="15" hidden="false" customHeight="false" outlineLevel="0" collapsed="false">
      <c r="A57" s="0" t="s">
        <v>62</v>
      </c>
      <c r="B57" s="2" t="n">
        <v>46077</v>
      </c>
      <c r="C57" s="3" t="s">
        <v>852</v>
      </c>
      <c r="D57" s="3" t="s">
        <v>84</v>
      </c>
      <c r="E57" s="3" t="s">
        <v>32</v>
      </c>
      <c r="F57" s="3" t="s">
        <v>33</v>
      </c>
      <c r="G57" s="0" t="n">
        <v>195</v>
      </c>
      <c r="H57" s="0" t="n">
        <v>2041.51</v>
      </c>
      <c r="I57" s="0" t="n">
        <v>2245.84</v>
      </c>
      <c r="J57" s="2" t="n">
        <v>46074</v>
      </c>
      <c r="K57" s="3" t="s">
        <v>853</v>
      </c>
      <c r="L57" s="2" t="n">
        <v>46074</v>
      </c>
      <c r="M57" s="3" t="s">
        <v>854</v>
      </c>
      <c r="N57" s="2" t="n">
        <v>46075</v>
      </c>
      <c r="O57" s="3" t="s">
        <v>257</v>
      </c>
      <c r="P57" s="3" t="s">
        <v>855</v>
      </c>
      <c r="Q57" s="2" t="n">
        <v>46077</v>
      </c>
      <c r="R57" s="3" t="s">
        <v>395</v>
      </c>
      <c r="S57" s="3" t="s">
        <v>122</v>
      </c>
      <c r="T57" s="3" t="s">
        <v>398</v>
      </c>
      <c r="U57" s="3" t="s">
        <v>398</v>
      </c>
      <c r="V57" s="3" t="s">
        <v>398</v>
      </c>
      <c r="X57" s="0" t="n">
        <v>1.5</v>
      </c>
      <c r="Y57" s="0" t="n">
        <v>4.6731</v>
      </c>
      <c r="Z57" s="0" t="n">
        <v>3</v>
      </c>
      <c r="AA57" s="0" t="n">
        <v>12</v>
      </c>
      <c r="AB57" s="4" t="n">
        <f aca="false">I57*AA57*Z57</f>
        <v>80850.24</v>
      </c>
      <c r="AC57" s="4" t="n">
        <f aca="false">AB57*1.18</f>
        <v>95403.2832</v>
      </c>
      <c r="AD57" s="0" t="n">
        <v>0</v>
      </c>
    </row>
    <row r="58" customFormat="false" ht="15" hidden="false" customHeight="false" outlineLevel="0" collapsed="false">
      <c r="A58" s="0" t="s">
        <v>29</v>
      </c>
      <c r="B58" s="2" t="n">
        <v>46078</v>
      </c>
      <c r="C58" s="3" t="s">
        <v>856</v>
      </c>
      <c r="D58" s="3" t="s">
        <v>31</v>
      </c>
      <c r="E58" s="3" t="s">
        <v>32</v>
      </c>
      <c r="F58" s="3" t="s">
        <v>33</v>
      </c>
      <c r="G58" s="0" t="n">
        <v>130</v>
      </c>
      <c r="H58" s="0" t="n">
        <v>2862.23</v>
      </c>
      <c r="I58" s="0" t="n">
        <v>3721.28</v>
      </c>
      <c r="J58" s="2" t="n">
        <v>46075</v>
      </c>
      <c r="K58" s="3" t="s">
        <v>857</v>
      </c>
      <c r="L58" s="2" t="n">
        <v>46075</v>
      </c>
      <c r="M58" s="3" t="s">
        <v>858</v>
      </c>
      <c r="N58" s="2" t="n">
        <v>46076</v>
      </c>
      <c r="O58" s="3" t="s">
        <v>859</v>
      </c>
      <c r="P58" s="3" t="s">
        <v>860</v>
      </c>
      <c r="Q58" s="2" t="n">
        <v>46078</v>
      </c>
      <c r="R58" s="3" t="s">
        <v>167</v>
      </c>
      <c r="S58" s="3" t="s">
        <v>304</v>
      </c>
      <c r="T58" s="3" t="s">
        <v>40</v>
      </c>
      <c r="U58" s="3" t="s">
        <v>40</v>
      </c>
      <c r="V58" s="3" t="s">
        <v>40</v>
      </c>
      <c r="X58" s="0" t="n">
        <v>1.5</v>
      </c>
      <c r="Y58" s="0" t="n">
        <v>4.2017</v>
      </c>
      <c r="Z58" s="0" t="n">
        <v>3</v>
      </c>
      <c r="AA58" s="0" t="n">
        <v>3</v>
      </c>
      <c r="AB58" s="4" t="n">
        <f aca="false">I58*AA58*Z58</f>
        <v>33491.52</v>
      </c>
      <c r="AC58" s="4" t="n">
        <f aca="false">AB58*1.18</f>
        <v>39519.9936</v>
      </c>
      <c r="AD58" s="0" t="n">
        <v>0</v>
      </c>
    </row>
    <row r="59" customFormat="false" ht="15" hidden="false" customHeight="false" outlineLevel="0" collapsed="false">
      <c r="A59" s="0" t="s">
        <v>29</v>
      </c>
      <c r="B59" s="2" t="n">
        <v>46078</v>
      </c>
      <c r="C59" s="3" t="s">
        <v>861</v>
      </c>
      <c r="D59" s="3" t="s">
        <v>84</v>
      </c>
      <c r="E59" s="3" t="s">
        <v>32</v>
      </c>
      <c r="F59" s="3" t="s">
        <v>33</v>
      </c>
      <c r="G59" s="0" t="n">
        <v>30</v>
      </c>
      <c r="H59" s="0" t="n">
        <v>2319.93</v>
      </c>
      <c r="I59" s="0" t="n">
        <v>2319.97</v>
      </c>
      <c r="J59" s="2" t="n">
        <v>46075</v>
      </c>
      <c r="K59" s="3" t="s">
        <v>862</v>
      </c>
      <c r="L59" s="2" t="n">
        <v>46075</v>
      </c>
      <c r="M59" s="3" t="s">
        <v>863</v>
      </c>
      <c r="N59" s="2" t="n">
        <v>46075</v>
      </c>
      <c r="O59" s="3" t="s">
        <v>864</v>
      </c>
      <c r="P59" s="3" t="s">
        <v>865</v>
      </c>
      <c r="Q59" s="2" t="n">
        <v>46078</v>
      </c>
      <c r="R59" s="3" t="s">
        <v>866</v>
      </c>
      <c r="S59" s="3" t="s">
        <v>155</v>
      </c>
      <c r="T59" s="3" t="s">
        <v>40</v>
      </c>
      <c r="U59" s="3" t="s">
        <v>40</v>
      </c>
      <c r="V59" s="3" t="s">
        <v>40</v>
      </c>
      <c r="X59" s="0" t="n">
        <v>1.5</v>
      </c>
      <c r="Y59" s="0" t="n">
        <v>3.0911</v>
      </c>
      <c r="Z59" s="0" t="n">
        <v>2</v>
      </c>
      <c r="AA59" s="0" t="n">
        <v>3</v>
      </c>
      <c r="AB59" s="4" t="n">
        <f aca="false">I59*AA59*Z59</f>
        <v>13919.82</v>
      </c>
      <c r="AC59" s="4" t="n">
        <f aca="false">AB59*1.18</f>
        <v>16425.3876</v>
      </c>
      <c r="AD59" s="0" t="n">
        <v>0</v>
      </c>
    </row>
    <row r="60" customFormat="false" ht="15" hidden="false" customHeight="false" outlineLevel="0" collapsed="false">
      <c r="A60" s="0" t="s">
        <v>29</v>
      </c>
      <c r="B60" s="2" t="n">
        <v>46078</v>
      </c>
      <c r="C60" s="3" t="s">
        <v>867</v>
      </c>
      <c r="D60" s="3" t="s">
        <v>31</v>
      </c>
      <c r="E60" s="3" t="s">
        <v>32</v>
      </c>
      <c r="F60" s="3" t="s">
        <v>33</v>
      </c>
      <c r="G60" s="0" t="n">
        <v>87</v>
      </c>
      <c r="H60" s="0" t="n">
        <v>78.78</v>
      </c>
      <c r="I60" s="0" t="n">
        <v>79.17</v>
      </c>
      <c r="J60" s="2" t="n">
        <v>46077</v>
      </c>
      <c r="K60" s="3" t="s">
        <v>868</v>
      </c>
      <c r="L60" s="2" t="n">
        <v>46077</v>
      </c>
      <c r="M60" s="3" t="s">
        <v>105</v>
      </c>
      <c r="N60" s="2" t="n">
        <v>46077</v>
      </c>
      <c r="O60" s="3" t="s">
        <v>869</v>
      </c>
      <c r="P60" s="3" t="s">
        <v>870</v>
      </c>
      <c r="Q60" s="2" t="n">
        <v>46078</v>
      </c>
      <c r="R60" s="3" t="s">
        <v>871</v>
      </c>
      <c r="S60" s="3" t="s">
        <v>109</v>
      </c>
      <c r="T60" s="3" t="s">
        <v>129</v>
      </c>
      <c r="U60" s="3" t="s">
        <v>129</v>
      </c>
      <c r="V60" s="3" t="s">
        <v>129</v>
      </c>
      <c r="X60" s="0" t="n">
        <v>1.5</v>
      </c>
      <c r="Y60" s="0" t="n">
        <v>2.8694</v>
      </c>
      <c r="Z60" s="0" t="n">
        <v>1</v>
      </c>
      <c r="AA60" s="0" t="n">
        <v>5</v>
      </c>
      <c r="AB60" s="4" t="n">
        <f aca="false">I60*AA60*Z60</f>
        <v>395.85</v>
      </c>
      <c r="AC60" s="4" t="n">
        <f aca="false">AB60*1.18</f>
        <v>467.103</v>
      </c>
      <c r="AD60" s="0" t="n">
        <v>0</v>
      </c>
    </row>
    <row r="61" customFormat="false" ht="15" hidden="false" customHeight="false" outlineLevel="0" collapsed="false">
      <c r="A61" s="0" t="s">
        <v>29</v>
      </c>
      <c r="B61" s="2" t="n">
        <v>46078</v>
      </c>
      <c r="C61" s="3" t="s">
        <v>872</v>
      </c>
      <c r="D61" s="3" t="s">
        <v>31</v>
      </c>
      <c r="E61" s="3" t="s">
        <v>32</v>
      </c>
      <c r="F61" s="3" t="s">
        <v>33</v>
      </c>
      <c r="G61" s="0" t="n">
        <v>38</v>
      </c>
      <c r="H61" s="0" t="n">
        <v>1907.31</v>
      </c>
      <c r="I61" s="0" t="n">
        <v>1907.66</v>
      </c>
      <c r="J61" s="2" t="n">
        <v>46075</v>
      </c>
      <c r="K61" s="3" t="s">
        <v>873</v>
      </c>
      <c r="L61" s="2" t="n">
        <v>46075</v>
      </c>
      <c r="M61" s="3" t="s">
        <v>874</v>
      </c>
      <c r="N61" s="2" t="n">
        <v>46076</v>
      </c>
      <c r="O61" s="3" t="s">
        <v>85</v>
      </c>
      <c r="P61" s="3" t="s">
        <v>875</v>
      </c>
      <c r="Q61" s="2" t="n">
        <v>46078</v>
      </c>
      <c r="R61" s="3" t="s">
        <v>876</v>
      </c>
      <c r="S61" s="3" t="s">
        <v>39</v>
      </c>
      <c r="T61" s="3" t="s">
        <v>40</v>
      </c>
      <c r="U61" s="3" t="s">
        <v>40</v>
      </c>
      <c r="V61" s="3" t="s">
        <v>40</v>
      </c>
      <c r="X61" s="0" t="n">
        <v>1.5</v>
      </c>
      <c r="Y61" s="0" t="n">
        <v>0.6026</v>
      </c>
      <c r="Z61" s="0" t="n">
        <v>-1</v>
      </c>
      <c r="AA61" s="0" t="n">
        <v>3</v>
      </c>
      <c r="AB61" s="4" t="n">
        <f aca="false">I61*AA61*Z61</f>
        <v>-5722.98</v>
      </c>
      <c r="AC61" s="4" t="n">
        <f aca="false">AB61*1.18</f>
        <v>-6753.1164</v>
      </c>
      <c r="AD61" s="0" t="n">
        <v>0</v>
      </c>
    </row>
    <row r="62" customFormat="false" ht="15" hidden="false" customHeight="false" outlineLevel="0" collapsed="false">
      <c r="A62" s="0" t="s">
        <v>62</v>
      </c>
      <c r="B62" s="2" t="n">
        <v>46078</v>
      </c>
      <c r="C62" s="3" t="s">
        <v>877</v>
      </c>
      <c r="D62" s="3" t="s">
        <v>31</v>
      </c>
      <c r="E62" s="3" t="s">
        <v>32</v>
      </c>
      <c r="F62" s="3" t="s">
        <v>33</v>
      </c>
      <c r="G62" s="0" t="n">
        <v>43</v>
      </c>
      <c r="H62" s="0" t="n">
        <v>1144.51</v>
      </c>
      <c r="I62" s="0" t="n">
        <v>1488.15</v>
      </c>
      <c r="J62" s="2" t="n">
        <v>46075</v>
      </c>
      <c r="K62" s="3" t="s">
        <v>878</v>
      </c>
      <c r="L62" s="2" t="n">
        <v>46075</v>
      </c>
      <c r="M62" s="3" t="s">
        <v>879</v>
      </c>
      <c r="N62" s="2" t="n">
        <v>46076</v>
      </c>
      <c r="O62" s="3" t="s">
        <v>880</v>
      </c>
      <c r="P62" s="3" t="s">
        <v>881</v>
      </c>
      <c r="Q62" s="2" t="n">
        <v>46078</v>
      </c>
      <c r="R62" s="3" t="s">
        <v>882</v>
      </c>
      <c r="S62" s="3" t="s">
        <v>241</v>
      </c>
      <c r="T62" s="3" t="s">
        <v>90</v>
      </c>
      <c r="U62" s="3" t="s">
        <v>90</v>
      </c>
      <c r="V62" s="3" t="s">
        <v>90</v>
      </c>
      <c r="X62" s="0" t="n">
        <v>1.5</v>
      </c>
      <c r="Y62" s="0" t="n">
        <v>3.5</v>
      </c>
      <c r="Z62" s="0" t="n">
        <v>2</v>
      </c>
      <c r="AA62" s="0" t="n">
        <v>3</v>
      </c>
      <c r="AB62" s="4" t="n">
        <f aca="false">I62*AA62*Z62</f>
        <v>8928.9</v>
      </c>
      <c r="AC62" s="4" t="n">
        <f aca="false">AB62*1.18</f>
        <v>10536.102</v>
      </c>
      <c r="AD62" s="0" t="n">
        <v>0</v>
      </c>
    </row>
    <row r="63" customFormat="false" ht="15" hidden="false" customHeight="false" outlineLevel="0" collapsed="false">
      <c r="A63" s="0" t="s">
        <v>62</v>
      </c>
      <c r="B63" s="2" t="n">
        <v>46079</v>
      </c>
      <c r="C63" s="3" t="s">
        <v>883</v>
      </c>
      <c r="D63" s="3" t="s">
        <v>31</v>
      </c>
      <c r="E63" s="3" t="s">
        <v>32</v>
      </c>
      <c r="F63" s="3" t="s">
        <v>33</v>
      </c>
      <c r="G63" s="0" t="n">
        <v>73</v>
      </c>
      <c r="H63" s="0" t="n">
        <v>2837.21</v>
      </c>
      <c r="I63" s="0" t="n">
        <v>2837.52</v>
      </c>
      <c r="J63" s="2" t="n">
        <v>46076</v>
      </c>
      <c r="K63" s="3" t="s">
        <v>884</v>
      </c>
      <c r="L63" s="2" t="n">
        <v>46077</v>
      </c>
      <c r="M63" s="3" t="s">
        <v>885</v>
      </c>
      <c r="N63" s="2" t="n">
        <v>46077</v>
      </c>
      <c r="O63" s="3" t="s">
        <v>886</v>
      </c>
      <c r="P63" s="3" t="s">
        <v>887</v>
      </c>
      <c r="Q63" s="2" t="n">
        <v>46079</v>
      </c>
      <c r="R63" s="3" t="s">
        <v>888</v>
      </c>
      <c r="S63" s="3" t="s">
        <v>115</v>
      </c>
      <c r="T63" s="3" t="s">
        <v>40</v>
      </c>
      <c r="U63" s="3" t="s">
        <v>40</v>
      </c>
      <c r="V63" s="3" t="s">
        <v>40</v>
      </c>
      <c r="X63" s="0" t="n">
        <v>1.5</v>
      </c>
      <c r="Y63" s="0" t="n">
        <v>2.0861</v>
      </c>
      <c r="Z63" s="0" t="n">
        <v>1</v>
      </c>
      <c r="AA63" s="0" t="n">
        <v>3</v>
      </c>
      <c r="AB63" s="4" t="n">
        <f aca="false">I63*AA63*Z63</f>
        <v>8512.56</v>
      </c>
      <c r="AC63" s="4" t="n">
        <f aca="false">AB63*1.18</f>
        <v>10044.8208</v>
      </c>
      <c r="AD63" s="0" t="n">
        <v>0</v>
      </c>
    </row>
    <row r="64" customFormat="false" ht="15" hidden="false" customHeight="false" outlineLevel="0" collapsed="false">
      <c r="A64" s="0" t="s">
        <v>62</v>
      </c>
      <c r="B64" s="2" t="n">
        <v>46079</v>
      </c>
      <c r="C64" s="3" t="s">
        <v>889</v>
      </c>
      <c r="D64" s="3" t="s">
        <v>84</v>
      </c>
      <c r="E64" s="3" t="s">
        <v>32</v>
      </c>
      <c r="F64" s="3" t="s">
        <v>33</v>
      </c>
      <c r="G64" s="0" t="n">
        <v>211</v>
      </c>
      <c r="H64" s="0" t="n">
        <v>364.47</v>
      </c>
      <c r="I64" s="0" t="n">
        <v>364.87</v>
      </c>
      <c r="J64" s="2" t="n">
        <v>46078</v>
      </c>
      <c r="K64" s="3" t="s">
        <v>890</v>
      </c>
      <c r="L64" s="2" t="n">
        <v>46078</v>
      </c>
      <c r="M64" s="3" t="s">
        <v>891</v>
      </c>
      <c r="N64" s="2" t="n">
        <v>46079</v>
      </c>
      <c r="O64" s="3" t="s">
        <v>892</v>
      </c>
      <c r="P64" s="3" t="s">
        <v>893</v>
      </c>
      <c r="Q64" s="2" t="n">
        <v>46079</v>
      </c>
      <c r="R64" s="3" t="s">
        <v>232</v>
      </c>
      <c r="S64" s="3" t="s">
        <v>115</v>
      </c>
      <c r="T64" s="3" t="s">
        <v>40</v>
      </c>
      <c r="U64" s="3" t="s">
        <v>40</v>
      </c>
      <c r="V64" s="3" t="s">
        <v>40</v>
      </c>
      <c r="X64" s="0" t="n">
        <v>1.5</v>
      </c>
      <c r="Y64" s="0" t="n">
        <v>3.6155</v>
      </c>
      <c r="Z64" s="0" t="n">
        <v>2</v>
      </c>
      <c r="AA64" s="0" t="n">
        <v>3</v>
      </c>
      <c r="AB64" s="4" t="n">
        <f aca="false">I64*AA64*Z64</f>
        <v>2189.22</v>
      </c>
      <c r="AC64" s="4" t="n">
        <f aca="false">AB64*1.18</f>
        <v>2583.2796</v>
      </c>
      <c r="AD64" s="0" t="n">
        <v>0</v>
      </c>
    </row>
    <row r="65" customFormat="false" ht="15" hidden="false" customHeight="false" outlineLevel="0" collapsed="false">
      <c r="A65" s="0" t="s">
        <v>62</v>
      </c>
      <c r="B65" s="2" t="n">
        <v>46079</v>
      </c>
      <c r="C65" s="3" t="s">
        <v>894</v>
      </c>
      <c r="D65" s="3" t="s">
        <v>31</v>
      </c>
      <c r="E65" s="3" t="s">
        <v>32</v>
      </c>
      <c r="F65" s="3" t="s">
        <v>33</v>
      </c>
      <c r="G65" s="0" t="n">
        <v>119</v>
      </c>
      <c r="H65" s="0" t="n">
        <v>2453.5</v>
      </c>
      <c r="I65" s="0" t="n">
        <v>3189.88</v>
      </c>
      <c r="J65" s="2" t="n">
        <v>46077</v>
      </c>
      <c r="K65" s="3" t="s">
        <v>368</v>
      </c>
      <c r="L65" s="2" t="n">
        <v>46077</v>
      </c>
      <c r="M65" s="3" t="s">
        <v>288</v>
      </c>
      <c r="N65" s="2" t="n">
        <v>46077</v>
      </c>
      <c r="O65" s="3" t="s">
        <v>895</v>
      </c>
      <c r="P65" s="3" t="s">
        <v>896</v>
      </c>
      <c r="Q65" s="2" t="n">
        <v>46079</v>
      </c>
      <c r="R65" s="3" t="s">
        <v>407</v>
      </c>
      <c r="S65" s="3" t="s">
        <v>304</v>
      </c>
      <c r="T65" s="3" t="s">
        <v>40</v>
      </c>
      <c r="U65" s="3" t="s">
        <v>40</v>
      </c>
      <c r="V65" s="3" t="s">
        <v>40</v>
      </c>
      <c r="X65" s="0" t="n">
        <v>1.5</v>
      </c>
      <c r="Y65" s="0" t="n">
        <v>0.8582</v>
      </c>
      <c r="Z65" s="0" t="n">
        <v>-1</v>
      </c>
      <c r="AA65" s="0" t="n">
        <v>3</v>
      </c>
      <c r="AB65" s="4" t="n">
        <f aca="false">I65*AA65*Z65</f>
        <v>-9569.64</v>
      </c>
      <c r="AC65" s="4" t="n">
        <f aca="false">AB65*1.18</f>
        <v>-11292.1752</v>
      </c>
      <c r="AD65" s="0" t="n">
        <v>0</v>
      </c>
    </row>
    <row r="66" customFormat="false" ht="15" hidden="false" customHeight="false" outlineLevel="0" collapsed="false">
      <c r="A66" s="0" t="s">
        <v>62</v>
      </c>
      <c r="B66" s="2" t="n">
        <v>46079</v>
      </c>
      <c r="C66" s="3" t="s">
        <v>897</v>
      </c>
      <c r="D66" s="3" t="s">
        <v>31</v>
      </c>
      <c r="E66" s="3" t="s">
        <v>32</v>
      </c>
      <c r="F66" s="3" t="s">
        <v>33</v>
      </c>
      <c r="G66" s="0" t="n">
        <v>220</v>
      </c>
      <c r="H66" s="0" t="n">
        <v>896.09</v>
      </c>
      <c r="I66" s="0" t="n">
        <v>1165.12</v>
      </c>
      <c r="J66" s="2" t="n">
        <v>46076</v>
      </c>
      <c r="K66" s="3" t="s">
        <v>733</v>
      </c>
      <c r="L66" s="2" t="n">
        <v>46076</v>
      </c>
      <c r="M66" s="3" t="s">
        <v>898</v>
      </c>
      <c r="N66" s="2" t="n">
        <v>46076</v>
      </c>
      <c r="O66" s="3" t="s">
        <v>899</v>
      </c>
      <c r="P66" s="3" t="s">
        <v>900</v>
      </c>
      <c r="Q66" s="2" t="n">
        <v>46079</v>
      </c>
      <c r="R66" s="3" t="s">
        <v>901</v>
      </c>
      <c r="S66" s="3" t="s">
        <v>61</v>
      </c>
      <c r="T66" s="3" t="s">
        <v>248</v>
      </c>
      <c r="U66" s="3" t="s">
        <v>248</v>
      </c>
      <c r="V66" s="3" t="s">
        <v>248</v>
      </c>
      <c r="X66" s="0" t="n">
        <v>1.5</v>
      </c>
      <c r="Y66" s="0" t="n">
        <v>1.5927</v>
      </c>
      <c r="Z66" s="0" t="n">
        <v>1</v>
      </c>
      <c r="AA66" s="0" t="n">
        <v>3</v>
      </c>
      <c r="AB66" s="4" t="n">
        <f aca="false">I66*AA66*Z66</f>
        <v>3495.36</v>
      </c>
      <c r="AC66" s="4" t="n">
        <f aca="false">AB66*1.18</f>
        <v>4124.5248</v>
      </c>
      <c r="AD66" s="0" t="n">
        <v>0</v>
      </c>
    </row>
    <row r="67" customFormat="false" ht="15" hidden="false" customHeight="false" outlineLevel="0" collapsed="false">
      <c r="A67" s="0" t="s">
        <v>29</v>
      </c>
      <c r="B67" s="2" t="n">
        <v>46080</v>
      </c>
      <c r="C67" s="3" t="s">
        <v>902</v>
      </c>
      <c r="D67" s="3" t="s">
        <v>84</v>
      </c>
      <c r="E67" s="3" t="s">
        <v>32</v>
      </c>
      <c r="F67" s="3" t="s">
        <v>33</v>
      </c>
      <c r="G67" s="0" t="n">
        <v>149</v>
      </c>
      <c r="H67" s="0" t="n">
        <v>3005.51</v>
      </c>
      <c r="I67" s="0" t="n">
        <v>3306.09</v>
      </c>
      <c r="J67" s="2" t="n">
        <v>46077</v>
      </c>
      <c r="K67" s="3" t="s">
        <v>903</v>
      </c>
      <c r="L67" s="2" t="n">
        <v>46078</v>
      </c>
      <c r="M67" s="3" t="s">
        <v>904</v>
      </c>
      <c r="N67" s="2" t="n">
        <v>46078</v>
      </c>
      <c r="O67" s="3" t="s">
        <v>905</v>
      </c>
      <c r="P67" s="3" t="s">
        <v>906</v>
      </c>
      <c r="Q67" s="2" t="n">
        <v>46080</v>
      </c>
      <c r="R67" s="3" t="s">
        <v>907</v>
      </c>
      <c r="S67" s="3" t="s">
        <v>142</v>
      </c>
      <c r="T67" s="3" t="s">
        <v>354</v>
      </c>
      <c r="U67" s="3" t="s">
        <v>354</v>
      </c>
      <c r="V67" s="3" t="s">
        <v>354</v>
      </c>
      <c r="X67" s="0" t="n">
        <v>1.5</v>
      </c>
      <c r="Y67" s="0" t="n">
        <v>4.039</v>
      </c>
      <c r="Z67" s="0" t="n">
        <v>3</v>
      </c>
      <c r="AA67" s="0" t="n">
        <v>12</v>
      </c>
      <c r="AB67" s="4" t="n">
        <f aca="false">I67*AA67*Z67</f>
        <v>119019.24</v>
      </c>
      <c r="AC67" s="4" t="n">
        <f aca="false">AB67*1.18</f>
        <v>140442.7032</v>
      </c>
      <c r="AD67" s="0" t="n">
        <v>0</v>
      </c>
    </row>
    <row r="68" customFormat="false" ht="15" hidden="false" customHeight="false" outlineLevel="0" collapsed="false">
      <c r="A68" s="0" t="s">
        <v>29</v>
      </c>
      <c r="B68" s="2" t="n">
        <v>46080</v>
      </c>
      <c r="C68" s="3" t="s">
        <v>908</v>
      </c>
      <c r="D68" s="3" t="s">
        <v>31</v>
      </c>
      <c r="E68" s="3" t="s">
        <v>32</v>
      </c>
      <c r="F68" s="3" t="s">
        <v>33</v>
      </c>
      <c r="G68" s="0" t="n">
        <v>183</v>
      </c>
      <c r="H68" s="0" t="n">
        <v>1415.14</v>
      </c>
      <c r="I68" s="0" t="n">
        <v>1839.98</v>
      </c>
      <c r="J68" s="2" t="n">
        <v>46077</v>
      </c>
      <c r="K68" s="3" t="s">
        <v>909</v>
      </c>
      <c r="L68" s="2" t="n">
        <v>46077</v>
      </c>
      <c r="M68" s="3" t="s">
        <v>910</v>
      </c>
      <c r="N68" s="2" t="n">
        <v>46077</v>
      </c>
      <c r="O68" s="3" t="s">
        <v>424</v>
      </c>
      <c r="P68" s="3" t="s">
        <v>911</v>
      </c>
      <c r="Q68" s="2" t="n">
        <v>46080</v>
      </c>
      <c r="R68" s="3" t="s">
        <v>165</v>
      </c>
      <c r="S68" s="3" t="s">
        <v>149</v>
      </c>
      <c r="T68" s="3" t="s">
        <v>82</v>
      </c>
      <c r="U68" s="3" t="s">
        <v>82</v>
      </c>
      <c r="V68" s="3" t="s">
        <v>82</v>
      </c>
      <c r="X68" s="0" t="n">
        <v>1.5</v>
      </c>
      <c r="Y68" s="0" t="n">
        <v>0.2845</v>
      </c>
      <c r="Z68" s="0" t="n">
        <v>-1</v>
      </c>
      <c r="AA68" s="0" t="n">
        <v>5</v>
      </c>
      <c r="AB68" s="4" t="n">
        <f aca="false">I68*AA68*Z68</f>
        <v>-9199.9</v>
      </c>
      <c r="AC68" s="4" t="n">
        <f aca="false">AB68*1.18</f>
        <v>-10855.882</v>
      </c>
      <c r="AD68" s="0" t="n">
        <v>0</v>
      </c>
    </row>
    <row r="69" customFormat="false" ht="15" hidden="false" customHeight="false" outlineLevel="0" collapsed="false">
      <c r="A69" s="0" t="s">
        <v>62</v>
      </c>
      <c r="B69" s="2" t="n">
        <v>46080</v>
      </c>
      <c r="C69" s="3" t="s">
        <v>912</v>
      </c>
      <c r="D69" s="3" t="s">
        <v>31</v>
      </c>
      <c r="E69" s="3" t="s">
        <v>32</v>
      </c>
      <c r="F69" s="3" t="s">
        <v>33</v>
      </c>
      <c r="G69" s="0" t="n">
        <v>217</v>
      </c>
      <c r="H69" s="0" t="n">
        <v>1139.99</v>
      </c>
      <c r="I69" s="0" t="n">
        <v>1140.06</v>
      </c>
      <c r="J69" s="2" t="n">
        <v>46078</v>
      </c>
      <c r="K69" s="3" t="s">
        <v>913</v>
      </c>
      <c r="L69" s="2" t="n">
        <v>46078</v>
      </c>
      <c r="M69" s="3" t="s">
        <v>914</v>
      </c>
      <c r="N69" s="2" t="n">
        <v>46079</v>
      </c>
      <c r="O69" s="3" t="s">
        <v>915</v>
      </c>
      <c r="P69" s="3" t="s">
        <v>916</v>
      </c>
      <c r="Q69" s="2" t="n">
        <v>46080</v>
      </c>
      <c r="R69" s="3" t="s">
        <v>308</v>
      </c>
      <c r="S69" s="3" t="s">
        <v>241</v>
      </c>
      <c r="T69" s="3" t="s">
        <v>82</v>
      </c>
      <c r="U69" s="3" t="s">
        <v>82</v>
      </c>
      <c r="V69" s="3" t="s">
        <v>82</v>
      </c>
      <c r="X69" s="0" t="n">
        <v>1.5</v>
      </c>
      <c r="Y69" s="0" t="n">
        <v>0.2639</v>
      </c>
      <c r="Z69" s="0" t="n">
        <v>-1</v>
      </c>
      <c r="AA69" s="0" t="n">
        <v>5</v>
      </c>
      <c r="AB69" s="4" t="n">
        <f aca="false">I69*AA69*Z69</f>
        <v>-5700.3</v>
      </c>
      <c r="AC69" s="4" t="n">
        <f aca="false">AB69*1.18</f>
        <v>-6726.354</v>
      </c>
      <c r="AD69" s="0" t="n">
        <v>0</v>
      </c>
    </row>
    <row r="70" customFormat="false" ht="15" hidden="false" customHeight="false" outlineLevel="0" collapsed="false">
      <c r="A70" s="0" t="s">
        <v>62</v>
      </c>
      <c r="B70" s="2" t="n">
        <v>46080</v>
      </c>
      <c r="C70" s="3" t="s">
        <v>917</v>
      </c>
      <c r="D70" s="3" t="s">
        <v>31</v>
      </c>
      <c r="E70" s="3" t="s">
        <v>32</v>
      </c>
      <c r="F70" s="3" t="s">
        <v>33</v>
      </c>
      <c r="G70" s="0" t="n">
        <v>182</v>
      </c>
      <c r="H70" s="0" t="n">
        <v>2690.24</v>
      </c>
      <c r="I70" s="0" t="n">
        <v>3497.41</v>
      </c>
      <c r="J70" s="2" t="n">
        <v>46077</v>
      </c>
      <c r="K70" s="3" t="s">
        <v>918</v>
      </c>
      <c r="L70" s="2" t="n">
        <v>46077</v>
      </c>
      <c r="M70" s="3" t="s">
        <v>919</v>
      </c>
      <c r="N70" s="2" t="n">
        <v>46077</v>
      </c>
      <c r="O70" s="3" t="s">
        <v>920</v>
      </c>
      <c r="P70" s="3" t="s">
        <v>921</v>
      </c>
      <c r="Q70" s="2" t="n">
        <v>46080</v>
      </c>
      <c r="R70" s="3" t="s">
        <v>922</v>
      </c>
      <c r="S70" s="3" t="s">
        <v>69</v>
      </c>
      <c r="T70" s="3" t="s">
        <v>354</v>
      </c>
      <c r="U70" s="3" t="s">
        <v>354</v>
      </c>
      <c r="V70" s="3" t="s">
        <v>354</v>
      </c>
      <c r="X70" s="0" t="n">
        <v>1.5</v>
      </c>
      <c r="Y70" s="0" t="n">
        <v>4.7334</v>
      </c>
      <c r="Z70" s="0" t="n">
        <v>3</v>
      </c>
      <c r="AA70" s="0" t="n">
        <v>12</v>
      </c>
      <c r="AB70" s="4" t="n">
        <f aca="false">I70*AA70*Z70</f>
        <v>125906.76</v>
      </c>
      <c r="AC70" s="4" t="n">
        <f aca="false">AB70*1.18</f>
        <v>148569.9768</v>
      </c>
      <c r="AD70" s="0" t="n">
        <v>0</v>
      </c>
    </row>
    <row r="71" customFormat="false" ht="15" hidden="false" customHeight="false" outlineLevel="0" collapsed="false">
      <c r="A71" s="0" t="s">
        <v>29</v>
      </c>
      <c r="B71" s="2" t="n">
        <v>46081</v>
      </c>
      <c r="C71" s="3" t="s">
        <v>923</v>
      </c>
      <c r="D71" s="3" t="s">
        <v>31</v>
      </c>
      <c r="E71" s="3" t="s">
        <v>32</v>
      </c>
      <c r="F71" s="3" t="s">
        <v>33</v>
      </c>
      <c r="G71" s="0" t="n">
        <v>28</v>
      </c>
      <c r="H71" s="0" t="n">
        <v>530.11</v>
      </c>
      <c r="I71" s="0" t="n">
        <v>530.46</v>
      </c>
      <c r="J71" s="2" t="n">
        <v>46078</v>
      </c>
      <c r="K71" s="3" t="s">
        <v>924</v>
      </c>
      <c r="L71" s="2" t="n">
        <v>46078</v>
      </c>
      <c r="M71" s="3" t="s">
        <v>119</v>
      </c>
      <c r="N71" s="2" t="n">
        <v>46079</v>
      </c>
      <c r="O71" s="3" t="s">
        <v>925</v>
      </c>
      <c r="P71" s="3" t="s">
        <v>926</v>
      </c>
      <c r="Q71" s="2" t="n">
        <v>46081</v>
      </c>
      <c r="R71" s="3" t="s">
        <v>927</v>
      </c>
      <c r="S71" s="3" t="s">
        <v>69</v>
      </c>
      <c r="T71" s="3" t="s">
        <v>248</v>
      </c>
      <c r="U71" s="3" t="s">
        <v>248</v>
      </c>
      <c r="V71" s="3" t="s">
        <v>248</v>
      </c>
      <c r="X71" s="0" t="n">
        <v>1.5</v>
      </c>
      <c r="Y71" s="0" t="n">
        <v>3.5856</v>
      </c>
      <c r="Z71" s="0" t="n">
        <v>2</v>
      </c>
      <c r="AA71" s="0" t="n">
        <v>3</v>
      </c>
      <c r="AB71" s="4" t="n">
        <f aca="false">I71*AA71*Z71</f>
        <v>3182.76</v>
      </c>
      <c r="AC71" s="4" t="n">
        <f aca="false">AB71*1.18</f>
        <v>3755.6568</v>
      </c>
      <c r="AD71" s="0" t="n">
        <v>0</v>
      </c>
    </row>
    <row r="72" customFormat="false" ht="15" hidden="false" customHeight="false" outlineLevel="0" collapsed="false">
      <c r="A72" s="0" t="s">
        <v>62</v>
      </c>
      <c r="B72" s="2" t="n">
        <v>46081</v>
      </c>
      <c r="C72" s="3" t="s">
        <v>928</v>
      </c>
      <c r="D72" s="3" t="s">
        <v>84</v>
      </c>
      <c r="E72" s="3" t="s">
        <v>32</v>
      </c>
      <c r="F72" s="3" t="s">
        <v>33</v>
      </c>
      <c r="G72" s="0" t="n">
        <v>17</v>
      </c>
      <c r="H72" s="0" t="n">
        <v>1859.68</v>
      </c>
      <c r="I72" s="0" t="n">
        <v>1859.97</v>
      </c>
      <c r="J72" s="2" t="n">
        <v>46080</v>
      </c>
      <c r="K72" s="3" t="s">
        <v>929</v>
      </c>
      <c r="L72" s="2" t="n">
        <v>46080</v>
      </c>
      <c r="M72" s="3" t="s">
        <v>930</v>
      </c>
      <c r="N72" s="2" t="n">
        <v>46080</v>
      </c>
      <c r="O72" s="3" t="s">
        <v>931</v>
      </c>
      <c r="P72" s="3" t="s">
        <v>932</v>
      </c>
      <c r="Q72" s="2" t="n">
        <v>46081</v>
      </c>
      <c r="R72" s="3" t="s">
        <v>933</v>
      </c>
      <c r="S72" s="3" t="s">
        <v>47</v>
      </c>
      <c r="T72" s="3" t="s">
        <v>40</v>
      </c>
      <c r="U72" s="3" t="s">
        <v>40</v>
      </c>
      <c r="V72" s="3" t="s">
        <v>40</v>
      </c>
      <c r="X72" s="0" t="n">
        <v>1.5</v>
      </c>
      <c r="Y72" s="0" t="n">
        <v>3.9697</v>
      </c>
      <c r="Z72" s="0" t="n">
        <v>2</v>
      </c>
      <c r="AA72" s="0" t="n">
        <v>3</v>
      </c>
      <c r="AB72" s="4" t="n">
        <f aca="false">I72*AA72*Z72</f>
        <v>11159.82</v>
      </c>
      <c r="AC72" s="4" t="n">
        <f aca="false">AB72*1.18</f>
        <v>13168.5876</v>
      </c>
      <c r="AD72" s="0" t="n">
        <v>0</v>
      </c>
    </row>
    <row r="73" customFormat="false" ht="15" hidden="false" customHeight="false" outlineLevel="0" collapsed="false">
      <c r="A73" s="0" t="s">
        <v>62</v>
      </c>
      <c r="B73" s="2" t="n">
        <v>46081</v>
      </c>
      <c r="C73" s="3" t="s">
        <v>934</v>
      </c>
      <c r="D73" s="3" t="s">
        <v>31</v>
      </c>
      <c r="E73" s="3" t="s">
        <v>32</v>
      </c>
      <c r="F73" s="3" t="s">
        <v>33</v>
      </c>
      <c r="G73" s="0" t="n">
        <v>3</v>
      </c>
      <c r="H73" s="0" t="n">
        <v>2302.18</v>
      </c>
      <c r="I73" s="0" t="n">
        <v>2302.42</v>
      </c>
      <c r="J73" s="2" t="n">
        <v>46080</v>
      </c>
      <c r="K73" s="3" t="s">
        <v>935</v>
      </c>
      <c r="L73" s="2" t="n">
        <v>46080</v>
      </c>
      <c r="M73" s="3" t="s">
        <v>285</v>
      </c>
      <c r="N73" s="2" t="n">
        <v>46081</v>
      </c>
      <c r="O73" s="3" t="s">
        <v>121</v>
      </c>
      <c r="P73" s="3" t="s">
        <v>936</v>
      </c>
      <c r="Q73" s="2" t="n">
        <v>46081</v>
      </c>
      <c r="R73" s="3" t="s">
        <v>937</v>
      </c>
      <c r="S73" s="3" t="s">
        <v>109</v>
      </c>
      <c r="T73" s="3" t="s">
        <v>40</v>
      </c>
      <c r="U73" s="3" t="s">
        <v>40</v>
      </c>
      <c r="V73" s="3" t="s">
        <v>40</v>
      </c>
      <c r="X73" s="0" t="n">
        <v>1.5</v>
      </c>
      <c r="Y73" s="0" t="n">
        <v>4.9663</v>
      </c>
      <c r="Z73" s="0" t="n">
        <v>3</v>
      </c>
      <c r="AA73" s="0" t="n">
        <v>3</v>
      </c>
      <c r="AB73" s="4" t="n">
        <f aca="false">I73*AA73*Z73</f>
        <v>20721.78</v>
      </c>
      <c r="AC73" s="4" t="n">
        <f aca="false">AB73*1.18</f>
        <v>24451.7004</v>
      </c>
      <c r="AD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464</v>
      </c>
    </row>
    <row r="2" customFormat="false" ht="15" hidden="false" customHeight="false" outlineLevel="0" collapsed="false">
      <c r="H2" s="0" t="s">
        <v>465</v>
      </c>
    </row>
    <row r="3" customFormat="false" ht="23.85" hidden="false" customHeight="false" outlineLevel="0" collapsed="false">
      <c r="A3" s="1" t="s">
        <v>466</v>
      </c>
      <c r="B3" s="1" t="s">
        <v>467</v>
      </c>
      <c r="C3" s="1" t="s">
        <v>468</v>
      </c>
      <c r="D3" s="1" t="s">
        <v>469</v>
      </c>
      <c r="E3" s="1" t="s">
        <v>470</v>
      </c>
      <c r="F3" s="1" t="s">
        <v>471</v>
      </c>
      <c r="G3" s="1" t="s">
        <v>472</v>
      </c>
      <c r="H3" s="1" t="s">
        <v>473</v>
      </c>
    </row>
    <row r="4" customFormat="false" ht="15" hidden="false" customHeight="false" outlineLevel="0" collapsed="false">
      <c r="A4" s="0" t="n">
        <v>1</v>
      </c>
      <c r="B4" s="6" t="n">
        <v>46069</v>
      </c>
      <c r="C4" s="3" t="s">
        <v>29</v>
      </c>
      <c r="D4" s="3" t="s">
        <v>474</v>
      </c>
      <c r="E4" s="0" t="n">
        <v>556</v>
      </c>
      <c r="F4" s="0" t="n">
        <v>8533.7</v>
      </c>
      <c r="G4" s="0" t="n">
        <v>8751.6</v>
      </c>
      <c r="H4" s="4" t="n">
        <f aca="false">G4*2*1.18</f>
        <v>20653.776</v>
      </c>
    </row>
    <row r="5" customFormat="false" ht="15" hidden="false" customHeight="false" outlineLevel="0" collapsed="false">
      <c r="A5" s="0" t="n">
        <v>2</v>
      </c>
      <c r="B5" s="6" t="n">
        <v>46069</v>
      </c>
      <c r="C5" s="3" t="s">
        <v>29</v>
      </c>
      <c r="D5" s="3" t="s">
        <v>475</v>
      </c>
      <c r="E5" s="0" t="n">
        <v>556</v>
      </c>
      <c r="F5" s="0" t="n">
        <v>8533.7</v>
      </c>
      <c r="G5" s="0" t="n">
        <v>8751.6</v>
      </c>
      <c r="H5" s="4" t="n">
        <f aca="false">G5*3*1.18</f>
        <v>30980.664</v>
      </c>
    </row>
    <row r="6" customFormat="false" ht="15" hidden="false" customHeight="false" outlineLevel="0" collapsed="false">
      <c r="A6" s="0" t="n">
        <v>3</v>
      </c>
      <c r="B6" s="6" t="n">
        <v>46069</v>
      </c>
      <c r="C6" s="3" t="s">
        <v>29</v>
      </c>
      <c r="D6" s="3" t="s">
        <v>476</v>
      </c>
      <c r="E6" s="0" t="n">
        <v>556</v>
      </c>
      <c r="F6" s="0" t="n">
        <v>8533.7</v>
      </c>
      <c r="G6" s="0" t="n">
        <v>8751.6</v>
      </c>
      <c r="H6" s="4" t="n">
        <f aca="false">G6*3*1.18</f>
        <v>30980.664</v>
      </c>
    </row>
    <row r="7" customFormat="false" ht="15" hidden="false" customHeight="false" outlineLevel="0" collapsed="false">
      <c r="A7" s="0" t="n">
        <v>4</v>
      </c>
      <c r="B7" s="6" t="n">
        <v>46069</v>
      </c>
      <c r="C7" s="3" t="s">
        <v>62</v>
      </c>
      <c r="D7" s="3" t="s">
        <v>474</v>
      </c>
      <c r="E7" s="0" t="n">
        <v>172</v>
      </c>
      <c r="F7" s="0" t="n">
        <v>2682.5</v>
      </c>
      <c r="G7" s="0" t="n">
        <v>2682.7</v>
      </c>
      <c r="H7" s="4" t="n">
        <f aca="false">G7*2*1.18</f>
        <v>6331.172</v>
      </c>
    </row>
    <row r="8" customFormat="false" ht="15" hidden="false" customHeight="false" outlineLevel="0" collapsed="false">
      <c r="A8" s="0" t="n">
        <v>5</v>
      </c>
      <c r="B8" s="6" t="n">
        <v>46069</v>
      </c>
      <c r="C8" s="3" t="s">
        <v>62</v>
      </c>
      <c r="D8" s="3" t="s">
        <v>475</v>
      </c>
      <c r="E8" s="0" t="n">
        <v>172</v>
      </c>
      <c r="F8" s="0" t="n">
        <v>2682.5</v>
      </c>
      <c r="G8" s="0" t="n">
        <v>2682.7</v>
      </c>
      <c r="H8" s="4" t="n">
        <f aca="false">G8*3*1.18</f>
        <v>9496.758</v>
      </c>
    </row>
    <row r="9" customFormat="false" ht="15" hidden="false" customHeight="false" outlineLevel="0" collapsed="false">
      <c r="A9" s="0" t="n">
        <v>6</v>
      </c>
      <c r="B9" s="6" t="n">
        <v>46069</v>
      </c>
      <c r="C9" s="3" t="s">
        <v>62</v>
      </c>
      <c r="D9" s="3" t="s">
        <v>476</v>
      </c>
      <c r="E9" s="0" t="n">
        <v>172</v>
      </c>
      <c r="F9" s="0" t="n">
        <v>2682.5</v>
      </c>
      <c r="G9" s="0" t="n">
        <v>2682.7</v>
      </c>
      <c r="H9" s="4" t="n">
        <f aca="false">G9*3*1.18</f>
        <v>9496.758</v>
      </c>
    </row>
    <row r="10" customFormat="false" ht="15" hidden="false" customHeight="false" outlineLevel="0" collapsed="false">
      <c r="A10" s="0" t="n">
        <v>7</v>
      </c>
      <c r="B10" s="6" t="n">
        <v>46070</v>
      </c>
      <c r="C10" s="3" t="s">
        <v>29</v>
      </c>
      <c r="D10" s="3" t="s">
        <v>474</v>
      </c>
      <c r="E10" s="0" t="n">
        <v>655</v>
      </c>
      <c r="F10" s="0" t="n">
        <v>11268.7</v>
      </c>
      <c r="G10" s="0" t="n">
        <v>12667.6</v>
      </c>
      <c r="H10" s="4" t="n">
        <f aca="false">G10*2*1.18</f>
        <v>29895.536</v>
      </c>
    </row>
    <row r="11" customFormat="false" ht="15" hidden="false" customHeight="false" outlineLevel="0" collapsed="false">
      <c r="A11" s="0" t="n">
        <v>8</v>
      </c>
      <c r="B11" s="6" t="n">
        <v>46070</v>
      </c>
      <c r="C11" s="3" t="s">
        <v>29</v>
      </c>
      <c r="D11" s="3" t="s">
        <v>475</v>
      </c>
      <c r="E11" s="0" t="n">
        <v>655</v>
      </c>
      <c r="F11" s="0" t="n">
        <v>11268.7</v>
      </c>
      <c r="G11" s="0" t="n">
        <v>12667.6</v>
      </c>
      <c r="H11" s="4" t="n">
        <f aca="false">G11*3*1.18</f>
        <v>44843.304</v>
      </c>
    </row>
    <row r="12" customFormat="false" ht="15" hidden="false" customHeight="false" outlineLevel="0" collapsed="false">
      <c r="A12" s="0" t="n">
        <v>9</v>
      </c>
      <c r="B12" s="6" t="n">
        <v>46070</v>
      </c>
      <c r="C12" s="3" t="s">
        <v>29</v>
      </c>
      <c r="D12" s="3" t="s">
        <v>476</v>
      </c>
      <c r="E12" s="0" t="n">
        <v>655</v>
      </c>
      <c r="F12" s="0" t="n">
        <v>11268.7</v>
      </c>
      <c r="G12" s="0" t="n">
        <v>12667.6</v>
      </c>
      <c r="H12" s="4" t="n">
        <f aca="false">G12*3*1.18</f>
        <v>44843.304</v>
      </c>
    </row>
    <row r="13" customFormat="false" ht="15" hidden="false" customHeight="false" outlineLevel="0" collapsed="false">
      <c r="A13" s="0" t="n">
        <v>10</v>
      </c>
      <c r="B13" s="6" t="n">
        <v>46070</v>
      </c>
      <c r="C13" s="3" t="s">
        <v>62</v>
      </c>
      <c r="D13" s="3" t="s">
        <v>474</v>
      </c>
      <c r="E13" s="0" t="n">
        <v>588</v>
      </c>
      <c r="F13" s="0" t="n">
        <v>4056.5</v>
      </c>
      <c r="G13" s="0" t="n">
        <v>4119.6</v>
      </c>
      <c r="H13" s="4" t="n">
        <f aca="false">G13*2*1.18</f>
        <v>9722.256</v>
      </c>
    </row>
    <row r="14" customFormat="false" ht="15" hidden="false" customHeight="false" outlineLevel="0" collapsed="false">
      <c r="A14" s="0" t="n">
        <v>11</v>
      </c>
      <c r="B14" s="6" t="n">
        <v>46070</v>
      </c>
      <c r="C14" s="3" t="s">
        <v>62</v>
      </c>
      <c r="D14" s="3" t="s">
        <v>475</v>
      </c>
      <c r="E14" s="0" t="n">
        <v>588</v>
      </c>
      <c r="F14" s="0" t="n">
        <v>4056.5</v>
      </c>
      <c r="G14" s="0" t="n">
        <v>4119.6</v>
      </c>
      <c r="H14" s="4" t="n">
        <f aca="false">G14*3*1.18</f>
        <v>14583.384</v>
      </c>
    </row>
    <row r="15" customFormat="false" ht="15" hidden="false" customHeight="false" outlineLevel="0" collapsed="false">
      <c r="A15" s="0" t="n">
        <v>12</v>
      </c>
      <c r="B15" s="6" t="n">
        <v>46070</v>
      </c>
      <c r="C15" s="3" t="s">
        <v>62</v>
      </c>
      <c r="D15" s="3" t="s">
        <v>476</v>
      </c>
      <c r="E15" s="0" t="n">
        <v>588</v>
      </c>
      <c r="F15" s="0" t="n">
        <v>4056.5</v>
      </c>
      <c r="G15" s="0" t="n">
        <v>4119.6</v>
      </c>
      <c r="H15" s="4" t="n">
        <f aca="false">G15*3*1.18</f>
        <v>14583.384</v>
      </c>
    </row>
    <row r="16" customFormat="false" ht="15" hidden="false" customHeight="false" outlineLevel="0" collapsed="false">
      <c r="A16" s="0" t="n">
        <v>13</v>
      </c>
      <c r="B16" s="6" t="n">
        <v>46071</v>
      </c>
      <c r="C16" s="3" t="s">
        <v>29</v>
      </c>
      <c r="D16" s="3" t="s">
        <v>474</v>
      </c>
      <c r="E16" s="0" t="n">
        <v>386</v>
      </c>
      <c r="F16" s="0" t="n">
        <v>2238.6</v>
      </c>
      <c r="G16" s="0" t="n">
        <v>2239.2</v>
      </c>
      <c r="H16" s="4" t="n">
        <f aca="false">G16*2*1.18</f>
        <v>5284.512</v>
      </c>
    </row>
    <row r="17" customFormat="false" ht="15" hidden="false" customHeight="false" outlineLevel="0" collapsed="false">
      <c r="A17" s="0" t="n">
        <v>14</v>
      </c>
      <c r="B17" s="6" t="n">
        <v>46071</v>
      </c>
      <c r="C17" s="3" t="s">
        <v>29</v>
      </c>
      <c r="D17" s="3" t="s">
        <v>475</v>
      </c>
      <c r="E17" s="0" t="n">
        <v>386</v>
      </c>
      <c r="F17" s="0" t="n">
        <v>2238.6</v>
      </c>
      <c r="G17" s="0" t="n">
        <v>2239.2</v>
      </c>
      <c r="H17" s="4" t="n">
        <f aca="false">G17*3*1.18</f>
        <v>7926.768</v>
      </c>
    </row>
    <row r="18" customFormat="false" ht="15" hidden="false" customHeight="false" outlineLevel="0" collapsed="false">
      <c r="A18" s="0" t="n">
        <v>15</v>
      </c>
      <c r="B18" s="6" t="n">
        <v>46071</v>
      </c>
      <c r="C18" s="3" t="s">
        <v>29</v>
      </c>
      <c r="D18" s="3" t="s">
        <v>476</v>
      </c>
      <c r="E18" s="0" t="n">
        <v>386</v>
      </c>
      <c r="F18" s="0" t="n">
        <v>2238.6</v>
      </c>
      <c r="G18" s="0" t="n">
        <v>2239.2</v>
      </c>
      <c r="H18" s="4" t="n">
        <f aca="false">G18*3*1.18</f>
        <v>7926.768</v>
      </c>
    </row>
    <row r="19" customFormat="false" ht="15" hidden="false" customHeight="false" outlineLevel="0" collapsed="false">
      <c r="A19" s="0" t="n">
        <v>16</v>
      </c>
      <c r="B19" s="6" t="n">
        <v>46071</v>
      </c>
      <c r="C19" s="3" t="s">
        <v>62</v>
      </c>
      <c r="D19" s="3" t="s">
        <v>474</v>
      </c>
      <c r="E19" s="0" t="n">
        <v>504</v>
      </c>
      <c r="F19" s="0" t="n">
        <v>5341.9</v>
      </c>
      <c r="G19" s="0" t="n">
        <v>6058.8</v>
      </c>
      <c r="H19" s="4" t="n">
        <f aca="false">G19*2*1.18</f>
        <v>14298.768</v>
      </c>
    </row>
    <row r="20" customFormat="false" ht="15" hidden="false" customHeight="false" outlineLevel="0" collapsed="false">
      <c r="A20" s="0" t="n">
        <v>17</v>
      </c>
      <c r="B20" s="6" t="n">
        <v>46071</v>
      </c>
      <c r="C20" s="3" t="s">
        <v>62</v>
      </c>
      <c r="D20" s="3" t="s">
        <v>475</v>
      </c>
      <c r="E20" s="0" t="n">
        <v>504</v>
      </c>
      <c r="F20" s="0" t="n">
        <v>5341.9</v>
      </c>
      <c r="G20" s="0" t="n">
        <v>6058.8</v>
      </c>
      <c r="H20" s="4" t="n">
        <f aca="false">G20*3*1.18</f>
        <v>21448.152</v>
      </c>
    </row>
    <row r="21" customFormat="false" ht="15" hidden="false" customHeight="false" outlineLevel="0" collapsed="false">
      <c r="A21" s="0" t="n">
        <v>18</v>
      </c>
      <c r="B21" s="6" t="n">
        <v>46071</v>
      </c>
      <c r="C21" s="3" t="s">
        <v>62</v>
      </c>
      <c r="D21" s="3" t="s">
        <v>476</v>
      </c>
      <c r="E21" s="0" t="n">
        <v>504</v>
      </c>
      <c r="F21" s="0" t="n">
        <v>5341.9</v>
      </c>
      <c r="G21" s="0" t="n">
        <v>6058.8</v>
      </c>
      <c r="H21" s="4" t="n">
        <f aca="false">G21*3*1.18</f>
        <v>21448.152</v>
      </c>
    </row>
    <row r="22" customFormat="false" ht="15" hidden="false" customHeight="false" outlineLevel="0" collapsed="false">
      <c r="A22" s="0" t="n">
        <v>19</v>
      </c>
      <c r="B22" s="6" t="n">
        <v>46072</v>
      </c>
      <c r="C22" s="3" t="s">
        <v>29</v>
      </c>
      <c r="D22" s="3" t="s">
        <v>474</v>
      </c>
      <c r="E22" s="0" t="n">
        <v>565</v>
      </c>
      <c r="F22" s="0" t="n">
        <v>7959.2</v>
      </c>
      <c r="G22" s="0" t="n">
        <v>8469</v>
      </c>
      <c r="H22" s="4" t="n">
        <f aca="false">G22*2*1.18</f>
        <v>19986.84</v>
      </c>
    </row>
    <row r="23" customFormat="false" ht="15" hidden="false" customHeight="false" outlineLevel="0" collapsed="false">
      <c r="A23" s="0" t="n">
        <v>20</v>
      </c>
      <c r="B23" s="6" t="n">
        <v>46072</v>
      </c>
      <c r="C23" s="3" t="s">
        <v>29</v>
      </c>
      <c r="D23" s="3" t="s">
        <v>475</v>
      </c>
      <c r="E23" s="0" t="n">
        <v>565</v>
      </c>
      <c r="F23" s="0" t="n">
        <v>7959.2</v>
      </c>
      <c r="G23" s="0" t="n">
        <v>8469</v>
      </c>
      <c r="H23" s="4" t="n">
        <f aca="false">G23*3*1.18</f>
        <v>29980.26</v>
      </c>
    </row>
    <row r="24" customFormat="false" ht="15" hidden="false" customHeight="false" outlineLevel="0" collapsed="false">
      <c r="A24" s="0" t="n">
        <v>21</v>
      </c>
      <c r="B24" s="6" t="n">
        <v>46072</v>
      </c>
      <c r="C24" s="3" t="s">
        <v>29</v>
      </c>
      <c r="D24" s="3" t="s">
        <v>476</v>
      </c>
      <c r="E24" s="0" t="n">
        <v>565</v>
      </c>
      <c r="F24" s="0" t="n">
        <v>7959.2</v>
      </c>
      <c r="G24" s="0" t="n">
        <v>8469</v>
      </c>
      <c r="H24" s="4" t="n">
        <f aca="false">G24*3*1.18</f>
        <v>29980.26</v>
      </c>
    </row>
    <row r="25" customFormat="false" ht="15" hidden="false" customHeight="false" outlineLevel="0" collapsed="false">
      <c r="A25" s="0" t="n">
        <v>22</v>
      </c>
      <c r="B25" s="6" t="n">
        <v>46072</v>
      </c>
      <c r="C25" s="3" t="s">
        <v>62</v>
      </c>
      <c r="D25" s="3" t="s">
        <v>474</v>
      </c>
      <c r="E25" s="0" t="n">
        <v>158</v>
      </c>
      <c r="F25" s="0" t="n">
        <v>2391.4</v>
      </c>
      <c r="G25" s="0" t="n">
        <v>2604.3</v>
      </c>
      <c r="H25" s="4" t="n">
        <f aca="false">G25*2*1.18</f>
        <v>6146.148</v>
      </c>
    </row>
    <row r="26" customFormat="false" ht="15" hidden="false" customHeight="false" outlineLevel="0" collapsed="false">
      <c r="A26" s="0" t="n">
        <v>23</v>
      </c>
      <c r="B26" s="6" t="n">
        <v>46072</v>
      </c>
      <c r="C26" s="3" t="s">
        <v>62</v>
      </c>
      <c r="D26" s="3" t="s">
        <v>475</v>
      </c>
      <c r="E26" s="0" t="n">
        <v>158</v>
      </c>
      <c r="F26" s="0" t="n">
        <v>2391.4</v>
      </c>
      <c r="G26" s="0" t="n">
        <v>2604.3</v>
      </c>
      <c r="H26" s="4" t="n">
        <f aca="false">G26*3*1.18</f>
        <v>9219.222</v>
      </c>
    </row>
    <row r="27" customFormat="false" ht="15" hidden="false" customHeight="false" outlineLevel="0" collapsed="false">
      <c r="A27" s="0" t="n">
        <v>24</v>
      </c>
      <c r="B27" s="6" t="n">
        <v>46072</v>
      </c>
      <c r="C27" s="3" t="s">
        <v>62</v>
      </c>
      <c r="D27" s="3" t="s">
        <v>476</v>
      </c>
      <c r="E27" s="0" t="n">
        <v>158</v>
      </c>
      <c r="F27" s="0" t="n">
        <v>2391.4</v>
      </c>
      <c r="G27" s="0" t="n">
        <v>2604.3</v>
      </c>
      <c r="H27" s="4" t="n">
        <f aca="false">G27*3*1.18</f>
        <v>9219.222</v>
      </c>
    </row>
    <row r="28" customFormat="false" ht="15" hidden="false" customHeight="false" outlineLevel="0" collapsed="false">
      <c r="A28" s="0" t="n">
        <v>25</v>
      </c>
      <c r="B28" s="6" t="n">
        <v>46073</v>
      </c>
      <c r="C28" s="3" t="s">
        <v>29</v>
      </c>
      <c r="D28" s="3" t="s">
        <v>474</v>
      </c>
      <c r="E28" s="0" t="n">
        <v>718</v>
      </c>
      <c r="F28" s="0" t="n">
        <v>8372.1</v>
      </c>
      <c r="G28" s="0" t="n">
        <v>9281.1</v>
      </c>
      <c r="H28" s="4" t="n">
        <f aca="false">G28*2*1.18</f>
        <v>21903.396</v>
      </c>
    </row>
    <row r="29" customFormat="false" ht="15" hidden="false" customHeight="false" outlineLevel="0" collapsed="false">
      <c r="A29" s="0" t="n">
        <v>26</v>
      </c>
      <c r="B29" s="6" t="n">
        <v>46073</v>
      </c>
      <c r="C29" s="3" t="s">
        <v>29</v>
      </c>
      <c r="D29" s="3" t="s">
        <v>475</v>
      </c>
      <c r="E29" s="0" t="n">
        <v>718</v>
      </c>
      <c r="F29" s="0" t="n">
        <v>8372.1</v>
      </c>
      <c r="G29" s="0" t="n">
        <v>9281.1</v>
      </c>
      <c r="H29" s="4" t="n">
        <f aca="false">G29*3*1.18</f>
        <v>32855.094</v>
      </c>
    </row>
    <row r="30" customFormat="false" ht="15" hidden="false" customHeight="false" outlineLevel="0" collapsed="false">
      <c r="A30" s="0" t="n">
        <v>27</v>
      </c>
      <c r="B30" s="6" t="n">
        <v>46073</v>
      </c>
      <c r="C30" s="3" t="s">
        <v>29</v>
      </c>
      <c r="D30" s="3" t="s">
        <v>476</v>
      </c>
      <c r="E30" s="0" t="n">
        <v>718</v>
      </c>
      <c r="F30" s="0" t="n">
        <v>8372.1</v>
      </c>
      <c r="G30" s="0" t="n">
        <v>9281.1</v>
      </c>
      <c r="H30" s="4" t="n">
        <f aca="false">G30*3*1.18</f>
        <v>32855.094</v>
      </c>
    </row>
    <row r="31" customFormat="false" ht="15" hidden="false" customHeight="false" outlineLevel="0" collapsed="false">
      <c r="A31" s="0" t="n">
        <v>28</v>
      </c>
      <c r="B31" s="6" t="n">
        <v>46073</v>
      </c>
      <c r="C31" s="3" t="s">
        <v>62</v>
      </c>
      <c r="D31" s="3" t="s">
        <v>474</v>
      </c>
      <c r="E31" s="0" t="n">
        <v>456</v>
      </c>
      <c r="F31" s="0" t="n">
        <v>6536.5</v>
      </c>
      <c r="G31" s="0" t="n">
        <v>7074</v>
      </c>
      <c r="H31" s="4" t="n">
        <f aca="false">G31*2*1.18</f>
        <v>16694.64</v>
      </c>
    </row>
    <row r="32" customFormat="false" ht="15" hidden="false" customHeight="false" outlineLevel="0" collapsed="false">
      <c r="A32" s="0" t="n">
        <v>29</v>
      </c>
      <c r="B32" s="6" t="n">
        <v>46073</v>
      </c>
      <c r="C32" s="3" t="s">
        <v>62</v>
      </c>
      <c r="D32" s="3" t="s">
        <v>475</v>
      </c>
      <c r="E32" s="0" t="n">
        <v>456</v>
      </c>
      <c r="F32" s="0" t="n">
        <v>6536.5</v>
      </c>
      <c r="G32" s="0" t="n">
        <v>7074</v>
      </c>
      <c r="H32" s="4" t="n">
        <f aca="false">G32*3*1.18</f>
        <v>25041.96</v>
      </c>
    </row>
    <row r="33" customFormat="false" ht="15" hidden="false" customHeight="false" outlineLevel="0" collapsed="false">
      <c r="A33" s="0" t="n">
        <v>30</v>
      </c>
      <c r="B33" s="6" t="n">
        <v>46073</v>
      </c>
      <c r="C33" s="3" t="s">
        <v>62</v>
      </c>
      <c r="D33" s="3" t="s">
        <v>476</v>
      </c>
      <c r="E33" s="0" t="n">
        <v>456</v>
      </c>
      <c r="F33" s="0" t="n">
        <v>6536.5</v>
      </c>
      <c r="G33" s="0" t="n">
        <v>7074</v>
      </c>
      <c r="H33" s="4" t="n">
        <f aca="false">G33*3*1.18</f>
        <v>25041.96</v>
      </c>
    </row>
    <row r="34" customFormat="false" ht="15" hidden="false" customHeight="false" outlineLevel="0" collapsed="false">
      <c r="A34" s="0" t="n">
        <v>31</v>
      </c>
      <c r="B34" s="6" t="n">
        <v>46074</v>
      </c>
      <c r="C34" s="3" t="s">
        <v>29</v>
      </c>
      <c r="D34" s="3" t="s">
        <v>474</v>
      </c>
      <c r="E34" s="0" t="n">
        <v>382</v>
      </c>
      <c r="F34" s="0" t="n">
        <v>3783.4</v>
      </c>
      <c r="G34" s="0" t="n">
        <v>3868.5</v>
      </c>
      <c r="H34" s="4" t="n">
        <f aca="false">G34*2*1.18</f>
        <v>9129.66</v>
      </c>
    </row>
    <row r="35" customFormat="false" ht="15" hidden="false" customHeight="false" outlineLevel="0" collapsed="false">
      <c r="A35" s="0" t="n">
        <v>32</v>
      </c>
      <c r="B35" s="6" t="n">
        <v>46074</v>
      </c>
      <c r="C35" s="3" t="s">
        <v>29</v>
      </c>
      <c r="D35" s="3" t="s">
        <v>475</v>
      </c>
      <c r="E35" s="0" t="n">
        <v>382</v>
      </c>
      <c r="F35" s="0" t="n">
        <v>3783.4</v>
      </c>
      <c r="G35" s="0" t="n">
        <v>3868.5</v>
      </c>
      <c r="H35" s="4" t="n">
        <f aca="false">G35*3*1.18</f>
        <v>13694.49</v>
      </c>
    </row>
    <row r="36" customFormat="false" ht="15" hidden="false" customHeight="false" outlineLevel="0" collapsed="false">
      <c r="A36" s="0" t="n">
        <v>33</v>
      </c>
      <c r="B36" s="6" t="n">
        <v>46074</v>
      </c>
      <c r="C36" s="3" t="s">
        <v>29</v>
      </c>
      <c r="D36" s="3" t="s">
        <v>476</v>
      </c>
      <c r="E36" s="0" t="n">
        <v>382</v>
      </c>
      <c r="F36" s="0" t="n">
        <v>3783.4</v>
      </c>
      <c r="G36" s="0" t="n">
        <v>3868.5</v>
      </c>
      <c r="H36" s="4" t="n">
        <f aca="false">G36*3*1.18</f>
        <v>13694.49</v>
      </c>
    </row>
    <row r="37" customFormat="false" ht="15" hidden="false" customHeight="false" outlineLevel="0" collapsed="false">
      <c r="A37" s="0" t="n">
        <v>34</v>
      </c>
      <c r="B37" s="6" t="n">
        <v>46074</v>
      </c>
      <c r="C37" s="3" t="s">
        <v>62</v>
      </c>
      <c r="D37" s="3" t="s">
        <v>474</v>
      </c>
      <c r="E37" s="0" t="n">
        <v>193</v>
      </c>
      <c r="F37" s="0" t="n">
        <v>2897.1</v>
      </c>
      <c r="G37" s="0" t="n">
        <v>3766.3</v>
      </c>
      <c r="H37" s="4" t="n">
        <f aca="false">G37*2*1.18</f>
        <v>8888.468</v>
      </c>
    </row>
    <row r="38" customFormat="false" ht="15" hidden="false" customHeight="false" outlineLevel="0" collapsed="false">
      <c r="A38" s="0" t="n">
        <v>35</v>
      </c>
      <c r="B38" s="6" t="n">
        <v>46074</v>
      </c>
      <c r="C38" s="3" t="s">
        <v>62</v>
      </c>
      <c r="D38" s="3" t="s">
        <v>475</v>
      </c>
      <c r="E38" s="0" t="n">
        <v>193</v>
      </c>
      <c r="F38" s="0" t="n">
        <v>2897.1</v>
      </c>
      <c r="G38" s="0" t="n">
        <v>3766.3</v>
      </c>
      <c r="H38" s="4" t="n">
        <f aca="false">G38*3*1.18</f>
        <v>13332.702</v>
      </c>
    </row>
    <row r="39" customFormat="false" ht="15" hidden="false" customHeight="false" outlineLevel="0" collapsed="false">
      <c r="A39" s="0" t="n">
        <v>36</v>
      </c>
      <c r="B39" s="6" t="n">
        <v>46074</v>
      </c>
      <c r="C39" s="3" t="s">
        <v>62</v>
      </c>
      <c r="D39" s="3" t="s">
        <v>476</v>
      </c>
      <c r="E39" s="0" t="n">
        <v>193</v>
      </c>
      <c r="F39" s="0" t="n">
        <v>2897.1</v>
      </c>
      <c r="G39" s="0" t="n">
        <v>3766.3</v>
      </c>
      <c r="H39" s="4" t="n">
        <f aca="false">G39*3*1.18</f>
        <v>13332.702</v>
      </c>
    </row>
    <row r="40" customFormat="false" ht="15" hidden="false" customHeight="false" outlineLevel="0" collapsed="false">
      <c r="A40" s="0" t="n">
        <v>37</v>
      </c>
      <c r="B40" s="6" t="n">
        <v>46075</v>
      </c>
      <c r="C40" s="3" t="s">
        <v>29</v>
      </c>
      <c r="D40" s="3" t="s">
        <v>474</v>
      </c>
      <c r="E40" s="0" t="n">
        <v>241</v>
      </c>
      <c r="F40" s="0" t="n">
        <v>4233</v>
      </c>
      <c r="G40" s="0" t="n">
        <v>5852.6</v>
      </c>
      <c r="H40" s="4" t="n">
        <f aca="false">G40*2*1.18</f>
        <v>13812.136</v>
      </c>
    </row>
    <row r="41" customFormat="false" ht="15" hidden="false" customHeight="false" outlineLevel="0" collapsed="false">
      <c r="A41" s="0" t="n">
        <v>38</v>
      </c>
      <c r="B41" s="6" t="n">
        <v>46075</v>
      </c>
      <c r="C41" s="3" t="s">
        <v>29</v>
      </c>
      <c r="D41" s="3" t="s">
        <v>475</v>
      </c>
      <c r="E41" s="0" t="n">
        <v>241</v>
      </c>
      <c r="F41" s="0" t="n">
        <v>4233</v>
      </c>
      <c r="G41" s="0" t="n">
        <v>5852.6</v>
      </c>
      <c r="H41" s="4" t="n">
        <f aca="false">G41*3*1.18</f>
        <v>20718.204</v>
      </c>
    </row>
    <row r="42" customFormat="false" ht="15" hidden="false" customHeight="false" outlineLevel="0" collapsed="false">
      <c r="A42" s="0" t="n">
        <v>39</v>
      </c>
      <c r="B42" s="6" t="n">
        <v>46075</v>
      </c>
      <c r="C42" s="3" t="s">
        <v>29</v>
      </c>
      <c r="D42" s="3" t="s">
        <v>476</v>
      </c>
      <c r="E42" s="0" t="n">
        <v>241</v>
      </c>
      <c r="F42" s="0" t="n">
        <v>4233</v>
      </c>
      <c r="G42" s="0" t="n">
        <v>5852.6</v>
      </c>
      <c r="H42" s="4" t="n">
        <f aca="false">G42*3*1.18</f>
        <v>20718.204</v>
      </c>
    </row>
    <row r="43" customFormat="false" ht="15" hidden="false" customHeight="false" outlineLevel="0" collapsed="false">
      <c r="A43" s="0" t="n">
        <v>40</v>
      </c>
      <c r="B43" s="6" t="n">
        <v>46075</v>
      </c>
      <c r="C43" s="3" t="s">
        <v>62</v>
      </c>
      <c r="D43" s="3" t="s">
        <v>474</v>
      </c>
      <c r="E43" s="0" t="n">
        <v>447</v>
      </c>
      <c r="F43" s="0" t="n">
        <v>3928.9</v>
      </c>
      <c r="G43" s="0" t="n">
        <v>4268.2</v>
      </c>
      <c r="H43" s="4" t="n">
        <f aca="false">G43*2*1.18</f>
        <v>10072.952</v>
      </c>
    </row>
    <row r="44" customFormat="false" ht="15" hidden="false" customHeight="false" outlineLevel="0" collapsed="false">
      <c r="A44" s="0" t="n">
        <v>41</v>
      </c>
      <c r="B44" s="6" t="n">
        <v>46075</v>
      </c>
      <c r="C44" s="3" t="s">
        <v>62</v>
      </c>
      <c r="D44" s="3" t="s">
        <v>475</v>
      </c>
      <c r="E44" s="0" t="n">
        <v>447</v>
      </c>
      <c r="F44" s="0" t="n">
        <v>3928.9</v>
      </c>
      <c r="G44" s="0" t="n">
        <v>4268.2</v>
      </c>
      <c r="H44" s="4" t="n">
        <f aca="false">G44*3*1.18</f>
        <v>15109.428</v>
      </c>
    </row>
    <row r="45" customFormat="false" ht="15" hidden="false" customHeight="false" outlineLevel="0" collapsed="false">
      <c r="A45" s="0" t="n">
        <v>42</v>
      </c>
      <c r="B45" s="6" t="n">
        <v>46075</v>
      </c>
      <c r="C45" s="3" t="s">
        <v>62</v>
      </c>
      <c r="D45" s="3" t="s">
        <v>476</v>
      </c>
      <c r="E45" s="0" t="n">
        <v>447</v>
      </c>
      <c r="F45" s="0" t="n">
        <v>3928.9</v>
      </c>
      <c r="G45" s="0" t="n">
        <v>4268.2</v>
      </c>
      <c r="H45" s="4" t="n">
        <f aca="false">G45*3*1.18</f>
        <v>15109.428</v>
      </c>
    </row>
    <row r="46" customFormat="false" ht="15" hidden="false" customHeight="false" outlineLevel="0" collapsed="false">
      <c r="D46" s="7" t="s">
        <v>477</v>
      </c>
      <c r="H46" s="8" t="n">
        <f aca="false">SUM(H4:H45)</f>
        <v>771281.04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5" t="s">
        <v>476</v>
      </c>
    </row>
    <row r="3" customFormat="false" ht="23.8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6</v>
      </c>
      <c r="E3" s="1" t="s">
        <v>8</v>
      </c>
      <c r="F3" s="1" t="s">
        <v>13</v>
      </c>
      <c r="G3" s="1" t="s">
        <v>14</v>
      </c>
      <c r="H3" s="1" t="s">
        <v>16</v>
      </c>
      <c r="I3" s="1" t="s">
        <v>17</v>
      </c>
      <c r="J3" s="1" t="s">
        <v>21</v>
      </c>
      <c r="K3" s="1" t="s">
        <v>478</v>
      </c>
      <c r="L3" s="1" t="s">
        <v>24</v>
      </c>
      <c r="M3" s="1" t="s">
        <v>479</v>
      </c>
      <c r="N3" s="1" t="s">
        <v>480</v>
      </c>
    </row>
    <row r="4" customFormat="false" ht="15" hidden="false" customHeight="false" outlineLevel="0" collapsed="false">
      <c r="A4" s="0" t="s">
        <v>29</v>
      </c>
      <c r="B4" s="6" t="n">
        <v>46069</v>
      </c>
      <c r="C4" s="3" t="s">
        <v>591</v>
      </c>
      <c r="D4" s="0" t="n">
        <v>162</v>
      </c>
      <c r="E4" s="0" t="n">
        <v>970.93</v>
      </c>
      <c r="F4" s="6" t="n">
        <v>46069</v>
      </c>
      <c r="G4" s="3" t="s">
        <v>593</v>
      </c>
      <c r="H4" s="6" t="n">
        <v>46069</v>
      </c>
      <c r="I4" s="3" t="s">
        <v>595</v>
      </c>
      <c r="J4" s="3" t="s">
        <v>40</v>
      </c>
      <c r="K4" s="0" t="n">
        <v>3</v>
      </c>
      <c r="L4" s="0" t="n">
        <v>2</v>
      </c>
      <c r="M4" s="4" t="n">
        <f aca="false">E4*K4*L4</f>
        <v>5825.58</v>
      </c>
      <c r="N4" s="4" t="n">
        <f aca="false">M4*1.18</f>
        <v>6874.1844</v>
      </c>
    </row>
    <row r="5" customFormat="false" ht="15" hidden="false" customHeight="false" outlineLevel="0" collapsed="false">
      <c r="A5" s="0" t="s">
        <v>29</v>
      </c>
      <c r="B5" s="6" t="n">
        <v>46069</v>
      </c>
      <c r="C5" s="3" t="s">
        <v>602</v>
      </c>
      <c r="D5" s="0" t="n">
        <v>158</v>
      </c>
      <c r="E5" s="0" t="n">
        <v>2633.5</v>
      </c>
      <c r="F5" s="6" t="n">
        <v>46067</v>
      </c>
      <c r="G5" s="3" t="s">
        <v>604</v>
      </c>
      <c r="H5" s="6" t="n">
        <v>46069</v>
      </c>
      <c r="I5" s="3" t="s">
        <v>606</v>
      </c>
      <c r="J5" s="3" t="s">
        <v>82</v>
      </c>
      <c r="K5" s="0" t="n">
        <v>5</v>
      </c>
      <c r="L5" s="0" t="n">
        <v>4</v>
      </c>
      <c r="M5" s="4" t="n">
        <f aca="false">E5*K5*L5</f>
        <v>52670</v>
      </c>
      <c r="N5" s="4" t="n">
        <f aca="false">M5*1.18</f>
        <v>62150.6</v>
      </c>
    </row>
    <row r="6" customFormat="false" ht="15" hidden="false" customHeight="false" outlineLevel="0" collapsed="false">
      <c r="A6" s="0" t="s">
        <v>62</v>
      </c>
      <c r="B6" s="6" t="n">
        <v>46069</v>
      </c>
      <c r="C6" s="3" t="s">
        <v>607</v>
      </c>
      <c r="D6" s="0" t="n">
        <v>172</v>
      </c>
      <c r="E6" s="0" t="n">
        <v>2682.7</v>
      </c>
      <c r="F6" s="6" t="n">
        <v>46067</v>
      </c>
      <c r="G6" s="3" t="s">
        <v>610</v>
      </c>
      <c r="H6" s="6" t="n">
        <v>46069</v>
      </c>
      <c r="I6" s="3" t="s">
        <v>612</v>
      </c>
      <c r="J6" s="3" t="s">
        <v>40</v>
      </c>
      <c r="K6" s="0" t="n">
        <v>3</v>
      </c>
      <c r="L6" s="0" t="n">
        <v>1</v>
      </c>
      <c r="M6" s="4" t="n">
        <f aca="false">E6*K6*L6</f>
        <v>8048.1</v>
      </c>
      <c r="N6" s="4" t="n">
        <f aca="false">M6*1.18</f>
        <v>9496.758</v>
      </c>
    </row>
    <row r="7" customFormat="false" ht="15" hidden="false" customHeight="false" outlineLevel="0" collapsed="false">
      <c r="A7" s="0" t="s">
        <v>29</v>
      </c>
      <c r="B7" s="6" t="n">
        <v>46070</v>
      </c>
      <c r="C7" s="3" t="s">
        <v>613</v>
      </c>
      <c r="D7" s="0" t="n">
        <v>37</v>
      </c>
      <c r="E7" s="0" t="n">
        <v>2463.05</v>
      </c>
      <c r="F7" s="6" t="n">
        <v>46067</v>
      </c>
      <c r="G7" s="3" t="s">
        <v>615</v>
      </c>
      <c r="H7" s="6" t="n">
        <v>46070</v>
      </c>
      <c r="I7" s="3" t="s">
        <v>617</v>
      </c>
      <c r="J7" s="3" t="s">
        <v>40</v>
      </c>
      <c r="K7" s="0" t="n">
        <v>3</v>
      </c>
      <c r="L7" s="0" t="n">
        <v>3</v>
      </c>
      <c r="M7" s="4" t="n">
        <f aca="false">E7*K7*L7</f>
        <v>22167.45</v>
      </c>
      <c r="N7" s="4" t="n">
        <f aca="false">M7*1.18</f>
        <v>26157.591</v>
      </c>
    </row>
    <row r="8" customFormat="false" ht="15" hidden="false" customHeight="false" outlineLevel="0" collapsed="false">
      <c r="A8" s="0" t="s">
        <v>29</v>
      </c>
      <c r="B8" s="6" t="n">
        <v>46070</v>
      </c>
      <c r="C8" s="3" t="s">
        <v>618</v>
      </c>
      <c r="D8" s="0" t="n">
        <v>133</v>
      </c>
      <c r="E8" s="0" t="n">
        <v>2433.76</v>
      </c>
      <c r="F8" s="6" t="n">
        <v>46068</v>
      </c>
      <c r="G8" s="3" t="s">
        <v>620</v>
      </c>
      <c r="H8" s="6" t="n">
        <v>46070</v>
      </c>
      <c r="I8" s="3" t="s">
        <v>622</v>
      </c>
      <c r="J8" s="3" t="s">
        <v>129</v>
      </c>
      <c r="K8" s="0" t="n">
        <v>5</v>
      </c>
      <c r="L8" s="0" t="n">
        <v>4</v>
      </c>
      <c r="M8" s="4" t="n">
        <f aca="false">E8*K8*L8</f>
        <v>48675.2</v>
      </c>
      <c r="N8" s="4" t="n">
        <f aca="false">M8*1.18</f>
        <v>57436.736</v>
      </c>
    </row>
    <row r="9" customFormat="false" ht="15" hidden="false" customHeight="false" outlineLevel="0" collapsed="false">
      <c r="A9" s="0" t="s">
        <v>29</v>
      </c>
      <c r="B9" s="6" t="n">
        <v>46070</v>
      </c>
      <c r="C9" s="3" t="s">
        <v>627</v>
      </c>
      <c r="D9" s="0" t="n">
        <v>146</v>
      </c>
      <c r="E9" s="0" t="n">
        <v>2913.88</v>
      </c>
      <c r="F9" s="6" t="n">
        <v>46069</v>
      </c>
      <c r="G9" s="3" t="s">
        <v>629</v>
      </c>
      <c r="H9" s="6" t="n">
        <v>46070</v>
      </c>
      <c r="I9" s="3" t="s">
        <v>631</v>
      </c>
      <c r="J9" s="3" t="s">
        <v>82</v>
      </c>
      <c r="K9" s="0" t="n">
        <v>5</v>
      </c>
      <c r="L9" s="0" t="n">
        <v>3</v>
      </c>
      <c r="M9" s="4" t="n">
        <f aca="false">E9*K9*L9</f>
        <v>43708.2</v>
      </c>
      <c r="N9" s="4" t="n">
        <f aca="false">M9*1.18</f>
        <v>51575.676</v>
      </c>
    </row>
    <row r="10" customFormat="false" ht="15" hidden="false" customHeight="false" outlineLevel="0" collapsed="false">
      <c r="A10" s="0" t="s">
        <v>29</v>
      </c>
      <c r="B10" s="6" t="n">
        <v>46070</v>
      </c>
      <c r="C10" s="3" t="s">
        <v>632</v>
      </c>
      <c r="D10" s="0" t="n">
        <v>138</v>
      </c>
      <c r="E10" s="0" t="n">
        <v>3624.11</v>
      </c>
      <c r="F10" s="6" t="n">
        <v>46068</v>
      </c>
      <c r="G10" s="3" t="s">
        <v>38</v>
      </c>
      <c r="H10" s="6" t="n">
        <v>46070</v>
      </c>
      <c r="I10" s="3" t="s">
        <v>634</v>
      </c>
      <c r="J10" s="3" t="s">
        <v>40</v>
      </c>
      <c r="K10" s="0" t="n">
        <v>3</v>
      </c>
      <c r="L10" s="0" t="n">
        <v>2</v>
      </c>
      <c r="M10" s="4" t="n">
        <f aca="false">E10*K10*L10</f>
        <v>21744.66</v>
      </c>
      <c r="N10" s="4" t="n">
        <f aca="false">M10*1.18</f>
        <v>25658.6988</v>
      </c>
    </row>
    <row r="11" customFormat="false" ht="15" hidden="false" customHeight="false" outlineLevel="0" collapsed="false">
      <c r="A11" s="0" t="s">
        <v>62</v>
      </c>
      <c r="B11" s="6" t="n">
        <v>46070</v>
      </c>
      <c r="C11" s="3" t="s">
        <v>635</v>
      </c>
      <c r="D11" s="0" t="n">
        <v>22</v>
      </c>
      <c r="E11" s="0" t="n">
        <v>187.04</v>
      </c>
      <c r="F11" s="6" t="n">
        <v>46068</v>
      </c>
      <c r="G11" s="3" t="s">
        <v>638</v>
      </c>
      <c r="H11" s="6" t="n">
        <v>46070</v>
      </c>
      <c r="I11" s="3" t="s">
        <v>640</v>
      </c>
      <c r="J11" s="3" t="s">
        <v>90</v>
      </c>
      <c r="K11" s="0" t="n">
        <v>3</v>
      </c>
      <c r="L11" s="0" t="n">
        <v>1</v>
      </c>
      <c r="M11" s="4" t="n">
        <f aca="false">E11*K11*L11</f>
        <v>561.12</v>
      </c>
      <c r="N11" s="4" t="n">
        <f aca="false">M11*1.18</f>
        <v>662.1216</v>
      </c>
    </row>
    <row r="12" customFormat="false" ht="15" hidden="false" customHeight="false" outlineLevel="0" collapsed="false">
      <c r="A12" s="0" t="s">
        <v>62</v>
      </c>
      <c r="B12" s="6" t="n">
        <v>46070</v>
      </c>
      <c r="C12" s="3" t="s">
        <v>641</v>
      </c>
      <c r="D12" s="0" t="n">
        <v>214</v>
      </c>
      <c r="E12" s="0" t="n">
        <v>1219.29</v>
      </c>
      <c r="F12" s="6" t="n">
        <v>46069</v>
      </c>
      <c r="G12" s="3" t="s">
        <v>644</v>
      </c>
      <c r="H12" s="6" t="n">
        <v>46070</v>
      </c>
      <c r="I12" s="3" t="s">
        <v>646</v>
      </c>
      <c r="J12" s="3" t="s">
        <v>90</v>
      </c>
      <c r="K12" s="0" t="n">
        <v>3</v>
      </c>
      <c r="L12" s="0" t="n">
        <v>2</v>
      </c>
      <c r="M12" s="4" t="n">
        <f aca="false">E12*K12*L12</f>
        <v>7315.74</v>
      </c>
      <c r="N12" s="4" t="n">
        <f aca="false">M12*1.18</f>
        <v>8632.5732</v>
      </c>
    </row>
    <row r="13" customFormat="false" ht="15" hidden="false" customHeight="false" outlineLevel="0" collapsed="false">
      <c r="A13" s="0" t="s">
        <v>62</v>
      </c>
      <c r="B13" s="6" t="n">
        <v>46070</v>
      </c>
      <c r="C13" s="3" t="s">
        <v>648</v>
      </c>
      <c r="D13" s="0" t="n">
        <v>176</v>
      </c>
      <c r="E13" s="0" t="n">
        <v>100.76</v>
      </c>
      <c r="F13" s="6" t="n">
        <v>46069</v>
      </c>
      <c r="G13" s="3" t="s">
        <v>651</v>
      </c>
      <c r="H13" s="6" t="n">
        <v>46070</v>
      </c>
      <c r="I13" s="3" t="s">
        <v>653</v>
      </c>
      <c r="J13" s="3" t="s">
        <v>129</v>
      </c>
      <c r="K13" s="0" t="n">
        <v>5</v>
      </c>
      <c r="L13" s="0" t="n">
        <v>2</v>
      </c>
      <c r="M13" s="4" t="n">
        <f aca="false">E13*K13*L13</f>
        <v>1007.6</v>
      </c>
      <c r="N13" s="4" t="n">
        <f aca="false">M13*1.18</f>
        <v>1188.968</v>
      </c>
    </row>
    <row r="14" customFormat="false" ht="15" hidden="false" customHeight="false" outlineLevel="0" collapsed="false">
      <c r="A14" s="0" t="s">
        <v>29</v>
      </c>
      <c r="B14" s="6" t="n">
        <v>46071</v>
      </c>
      <c r="C14" s="3" t="s">
        <v>659</v>
      </c>
      <c r="D14" s="0" t="n">
        <v>176</v>
      </c>
      <c r="E14" s="0" t="n">
        <v>1701.04</v>
      </c>
      <c r="F14" s="6" t="n">
        <v>46071</v>
      </c>
      <c r="G14" s="3" t="s">
        <v>661</v>
      </c>
      <c r="H14" s="6" t="n">
        <v>46071</v>
      </c>
      <c r="I14" s="3" t="s">
        <v>663</v>
      </c>
      <c r="J14" s="3" t="s">
        <v>82</v>
      </c>
      <c r="K14" s="0" t="n">
        <v>5</v>
      </c>
      <c r="L14" s="0" t="n">
        <v>1</v>
      </c>
      <c r="M14" s="4" t="n">
        <f aca="false">E14*K14*L14</f>
        <v>8505.2</v>
      </c>
      <c r="N14" s="4" t="n">
        <f aca="false">M14*1.18</f>
        <v>10036.136</v>
      </c>
    </row>
    <row r="15" customFormat="false" ht="15" hidden="false" customHeight="false" outlineLevel="0" collapsed="false">
      <c r="A15" s="0" t="s">
        <v>29</v>
      </c>
      <c r="B15" s="6" t="n">
        <v>46071</v>
      </c>
      <c r="C15" s="3" t="s">
        <v>664</v>
      </c>
      <c r="D15" s="0" t="n">
        <v>210</v>
      </c>
      <c r="E15" s="0" t="n">
        <v>538.16</v>
      </c>
      <c r="F15" s="6" t="n">
        <v>46070</v>
      </c>
      <c r="G15" s="3" t="s">
        <v>667</v>
      </c>
      <c r="H15" s="6" t="n">
        <v>46071</v>
      </c>
      <c r="I15" s="3" t="s">
        <v>669</v>
      </c>
      <c r="J15" s="3" t="s">
        <v>40</v>
      </c>
      <c r="K15" s="0" t="n">
        <v>3</v>
      </c>
      <c r="L15" s="0" t="n">
        <v>1</v>
      </c>
      <c r="M15" s="4" t="n">
        <f aca="false">E15*K15*L15</f>
        <v>1614.48</v>
      </c>
      <c r="N15" s="4" t="n">
        <f aca="false">M15*1.18</f>
        <v>1905.0864</v>
      </c>
    </row>
    <row r="16" customFormat="false" ht="15" hidden="false" customHeight="false" outlineLevel="0" collapsed="false">
      <c r="A16" s="0" t="s">
        <v>62</v>
      </c>
      <c r="B16" s="6" t="n">
        <v>46071</v>
      </c>
      <c r="C16" s="3" t="s">
        <v>670</v>
      </c>
      <c r="D16" s="0" t="n">
        <v>213</v>
      </c>
      <c r="E16" s="0" t="n">
        <v>1301.42</v>
      </c>
      <c r="F16" s="6" t="n">
        <v>46069</v>
      </c>
      <c r="G16" s="3" t="s">
        <v>673</v>
      </c>
      <c r="H16" s="6" t="n">
        <v>46071</v>
      </c>
      <c r="I16" s="3" t="s">
        <v>675</v>
      </c>
      <c r="J16" s="3" t="s">
        <v>40</v>
      </c>
      <c r="K16" s="0" t="n">
        <v>3</v>
      </c>
      <c r="L16" s="0" t="n">
        <v>4</v>
      </c>
      <c r="M16" s="4" t="n">
        <f aca="false">E16*K16*L16</f>
        <v>15617.04</v>
      </c>
      <c r="N16" s="4" t="n">
        <f aca="false">M16*1.18</f>
        <v>18428.1072</v>
      </c>
    </row>
    <row r="17" customFormat="false" ht="15" hidden="false" customHeight="false" outlineLevel="0" collapsed="false">
      <c r="A17" s="0" t="s">
        <v>62</v>
      </c>
      <c r="B17" s="6" t="n">
        <v>46071</v>
      </c>
      <c r="C17" s="3" t="s">
        <v>676</v>
      </c>
      <c r="D17" s="0" t="n">
        <v>148</v>
      </c>
      <c r="E17" s="0" t="n">
        <v>3030.87</v>
      </c>
      <c r="F17" s="6" t="n">
        <v>46070</v>
      </c>
      <c r="G17" s="3" t="s">
        <v>679</v>
      </c>
      <c r="H17" s="6" t="n">
        <v>46071</v>
      </c>
      <c r="I17" s="3" t="s">
        <v>681</v>
      </c>
      <c r="J17" s="3" t="s">
        <v>82</v>
      </c>
      <c r="K17" s="0" t="n">
        <v>5</v>
      </c>
      <c r="L17" s="0" t="n">
        <v>2</v>
      </c>
      <c r="M17" s="4" t="n">
        <f aca="false">E17*K17*L17</f>
        <v>30308.7</v>
      </c>
      <c r="N17" s="4" t="n">
        <f aca="false">M17*1.18</f>
        <v>35764.266</v>
      </c>
    </row>
    <row r="18" customFormat="false" ht="15" hidden="false" customHeight="false" outlineLevel="0" collapsed="false">
      <c r="A18" s="0" t="s">
        <v>62</v>
      </c>
      <c r="B18" s="6" t="n">
        <v>46071</v>
      </c>
      <c r="C18" s="3" t="s">
        <v>682</v>
      </c>
      <c r="D18" s="0" t="n">
        <v>134</v>
      </c>
      <c r="E18" s="0" t="n">
        <v>331.18</v>
      </c>
      <c r="F18" s="6" t="n">
        <v>46070</v>
      </c>
      <c r="G18" s="3" t="s">
        <v>684</v>
      </c>
      <c r="H18" s="6" t="n">
        <v>46071</v>
      </c>
      <c r="I18" s="3" t="s">
        <v>686</v>
      </c>
      <c r="J18" s="3" t="s">
        <v>40</v>
      </c>
      <c r="K18" s="0" t="n">
        <v>3</v>
      </c>
      <c r="L18" s="0" t="n">
        <v>1</v>
      </c>
      <c r="M18" s="4" t="n">
        <f aca="false">E18*K18*L18</f>
        <v>993.54</v>
      </c>
      <c r="N18" s="4" t="n">
        <f aca="false">M18*1.18</f>
        <v>1172.3772</v>
      </c>
    </row>
    <row r="19" customFormat="false" ht="15" hidden="false" customHeight="false" outlineLevel="0" collapsed="false">
      <c r="A19" s="0" t="s">
        <v>62</v>
      </c>
      <c r="B19" s="6" t="n">
        <v>46071</v>
      </c>
      <c r="C19" s="3" t="s">
        <v>687</v>
      </c>
      <c r="D19" s="0" t="n">
        <v>9</v>
      </c>
      <c r="E19" s="0" t="n">
        <v>1395.34</v>
      </c>
      <c r="F19" s="6" t="n">
        <v>46069</v>
      </c>
      <c r="G19" s="3" t="s">
        <v>688</v>
      </c>
      <c r="H19" s="6" t="n">
        <v>46071</v>
      </c>
      <c r="I19" s="3" t="s">
        <v>690</v>
      </c>
      <c r="J19" s="3" t="s">
        <v>129</v>
      </c>
      <c r="K19" s="0" t="n">
        <v>5</v>
      </c>
      <c r="L19" s="0" t="n">
        <v>3</v>
      </c>
      <c r="M19" s="4" t="n">
        <f aca="false">E19*K19*L19</f>
        <v>20930.1</v>
      </c>
      <c r="N19" s="4" t="n">
        <f aca="false">M19*1.18</f>
        <v>24697.518</v>
      </c>
    </row>
    <row r="20" customFormat="false" ht="15" hidden="false" customHeight="false" outlineLevel="0" collapsed="false">
      <c r="A20" s="0" t="s">
        <v>29</v>
      </c>
      <c r="B20" s="6" t="n">
        <v>46072</v>
      </c>
      <c r="C20" s="3" t="s">
        <v>691</v>
      </c>
      <c r="D20" s="0" t="n">
        <v>211</v>
      </c>
      <c r="E20" s="0" t="n">
        <v>2219.8</v>
      </c>
      <c r="F20" s="6" t="n">
        <v>46070</v>
      </c>
      <c r="G20" s="3" t="s">
        <v>693</v>
      </c>
      <c r="H20" s="6" t="n">
        <v>46072</v>
      </c>
      <c r="I20" s="3" t="s">
        <v>695</v>
      </c>
      <c r="J20" s="3" t="s">
        <v>40</v>
      </c>
      <c r="K20" s="0" t="n">
        <v>3</v>
      </c>
      <c r="L20" s="0" t="n">
        <v>2</v>
      </c>
      <c r="M20" s="4" t="n">
        <f aca="false">E20*K20*L20</f>
        <v>13318.8</v>
      </c>
      <c r="N20" s="4" t="n">
        <f aca="false">M20*1.18</f>
        <v>15716.184</v>
      </c>
    </row>
    <row r="21" customFormat="false" ht="15" hidden="false" customHeight="false" outlineLevel="0" collapsed="false">
      <c r="A21" s="0" t="s">
        <v>29</v>
      </c>
      <c r="B21" s="6" t="n">
        <v>46072</v>
      </c>
      <c r="C21" s="3" t="s">
        <v>696</v>
      </c>
      <c r="D21" s="0" t="n">
        <v>212</v>
      </c>
      <c r="E21" s="0" t="n">
        <v>1329.57</v>
      </c>
      <c r="F21" s="6" t="n">
        <v>46071</v>
      </c>
      <c r="G21" s="3" t="s">
        <v>457</v>
      </c>
      <c r="H21" s="6" t="n">
        <v>46072</v>
      </c>
      <c r="I21" s="3" t="s">
        <v>699</v>
      </c>
      <c r="J21" s="3" t="s">
        <v>40</v>
      </c>
      <c r="K21" s="0" t="n">
        <v>3</v>
      </c>
      <c r="L21" s="0" t="n">
        <v>2</v>
      </c>
      <c r="M21" s="4" t="n">
        <f aca="false">E21*K21*L21</f>
        <v>7977.42</v>
      </c>
      <c r="N21" s="4" t="n">
        <f aca="false">M21*1.18</f>
        <v>9413.3556</v>
      </c>
    </row>
    <row r="22" customFormat="false" ht="15" hidden="false" customHeight="false" outlineLevel="0" collapsed="false">
      <c r="A22" s="0" t="s">
        <v>29</v>
      </c>
      <c r="B22" s="6" t="n">
        <v>46072</v>
      </c>
      <c r="C22" s="3" t="s">
        <v>700</v>
      </c>
      <c r="D22" s="0" t="n">
        <v>88</v>
      </c>
      <c r="E22" s="0" t="n">
        <v>2531.77</v>
      </c>
      <c r="F22" s="6" t="n">
        <v>46071</v>
      </c>
      <c r="G22" s="3" t="s">
        <v>702</v>
      </c>
      <c r="H22" s="6" t="n">
        <v>46072</v>
      </c>
      <c r="I22" s="3" t="s">
        <v>704</v>
      </c>
      <c r="J22" s="3" t="s">
        <v>40</v>
      </c>
      <c r="K22" s="0" t="n">
        <v>3</v>
      </c>
      <c r="L22" s="0" t="n">
        <v>3</v>
      </c>
      <c r="M22" s="4" t="n">
        <f aca="false">E22*K22*L22</f>
        <v>22785.93</v>
      </c>
      <c r="N22" s="4" t="n">
        <f aca="false">M22*1.18</f>
        <v>26887.3974</v>
      </c>
    </row>
    <row r="23" customFormat="false" ht="15" hidden="false" customHeight="false" outlineLevel="0" collapsed="false">
      <c r="A23" s="0" t="s">
        <v>62</v>
      </c>
      <c r="B23" s="6" t="n">
        <v>46072</v>
      </c>
      <c r="C23" s="3" t="s">
        <v>710</v>
      </c>
      <c r="D23" s="0" t="n">
        <v>99</v>
      </c>
      <c r="E23" s="0" t="n">
        <v>2335.31</v>
      </c>
      <c r="F23" s="6" t="n">
        <v>46071</v>
      </c>
      <c r="G23" s="3" t="s">
        <v>712</v>
      </c>
      <c r="H23" s="6" t="n">
        <v>46072</v>
      </c>
      <c r="I23" s="3" t="s">
        <v>649</v>
      </c>
      <c r="J23" s="3" t="s">
        <v>40</v>
      </c>
      <c r="K23" s="0" t="n">
        <v>3</v>
      </c>
      <c r="L23" s="0" t="n">
        <v>1</v>
      </c>
      <c r="M23" s="4" t="n">
        <f aca="false">E23*K23*L23</f>
        <v>7005.93</v>
      </c>
      <c r="N23" s="4" t="n">
        <f aca="false">M23*1.18</f>
        <v>8266.9974</v>
      </c>
    </row>
    <row r="24" customFormat="false" ht="15" hidden="false" customHeight="false" outlineLevel="0" collapsed="false">
      <c r="A24" s="0" t="s">
        <v>29</v>
      </c>
      <c r="B24" s="6" t="n">
        <v>46073</v>
      </c>
      <c r="C24" s="3" t="s">
        <v>719</v>
      </c>
      <c r="D24" s="0" t="n">
        <v>184</v>
      </c>
      <c r="E24" s="0" t="n">
        <v>1647.85</v>
      </c>
      <c r="F24" s="6" t="n">
        <v>46071</v>
      </c>
      <c r="G24" s="3" t="s">
        <v>721</v>
      </c>
      <c r="H24" s="6" t="n">
        <v>46073</v>
      </c>
      <c r="I24" s="3" t="s">
        <v>723</v>
      </c>
      <c r="J24" s="3" t="s">
        <v>40</v>
      </c>
      <c r="K24" s="0" t="n">
        <v>3</v>
      </c>
      <c r="L24" s="0" t="n">
        <v>3</v>
      </c>
      <c r="M24" s="4" t="n">
        <f aca="false">E24*K24*L24</f>
        <v>14830.65</v>
      </c>
      <c r="N24" s="4" t="n">
        <f aca="false">M24*1.18</f>
        <v>17500.167</v>
      </c>
    </row>
    <row r="25" customFormat="false" ht="15" hidden="false" customHeight="false" outlineLevel="0" collapsed="false">
      <c r="A25" s="0" t="s">
        <v>29</v>
      </c>
      <c r="B25" s="6" t="n">
        <v>46073</v>
      </c>
      <c r="C25" s="3" t="s">
        <v>729</v>
      </c>
      <c r="D25" s="0" t="n">
        <v>163</v>
      </c>
      <c r="E25" s="0" t="n">
        <v>277.01</v>
      </c>
      <c r="F25" s="6" t="n">
        <v>46070</v>
      </c>
      <c r="G25" s="3" t="s">
        <v>376</v>
      </c>
      <c r="H25" s="6" t="n">
        <v>46073</v>
      </c>
      <c r="I25" s="3" t="s">
        <v>273</v>
      </c>
      <c r="J25" s="3" t="s">
        <v>40</v>
      </c>
      <c r="K25" s="0" t="n">
        <v>3</v>
      </c>
      <c r="L25" s="0" t="n">
        <v>3</v>
      </c>
      <c r="M25" s="4" t="n">
        <f aca="false">E25*K25*L25</f>
        <v>2493.09</v>
      </c>
      <c r="N25" s="4" t="n">
        <f aca="false">M25*1.18</f>
        <v>2941.8462</v>
      </c>
    </row>
    <row r="26" customFormat="false" ht="15" hidden="false" customHeight="false" outlineLevel="0" collapsed="false">
      <c r="A26" s="0" t="s">
        <v>29</v>
      </c>
      <c r="B26" s="6" t="n">
        <v>46073</v>
      </c>
      <c r="C26" s="3" t="s">
        <v>731</v>
      </c>
      <c r="D26" s="0" t="n">
        <v>199</v>
      </c>
      <c r="E26" s="0" t="n">
        <v>2322.15</v>
      </c>
      <c r="F26" s="6" t="n">
        <v>46071</v>
      </c>
      <c r="G26" s="3" t="s">
        <v>733</v>
      </c>
      <c r="H26" s="6" t="n">
        <v>46073</v>
      </c>
      <c r="I26" s="3" t="s">
        <v>735</v>
      </c>
      <c r="J26" s="3" t="s">
        <v>40</v>
      </c>
      <c r="K26" s="0" t="n">
        <v>3</v>
      </c>
      <c r="L26" s="0" t="n">
        <v>2</v>
      </c>
      <c r="M26" s="4" t="n">
        <f aca="false">E26*K26*L26</f>
        <v>13932.9</v>
      </c>
      <c r="N26" s="4" t="n">
        <f aca="false">M26*1.18</f>
        <v>16440.822</v>
      </c>
    </row>
    <row r="27" customFormat="false" ht="15" hidden="false" customHeight="false" outlineLevel="0" collapsed="false">
      <c r="A27" s="0" t="s">
        <v>62</v>
      </c>
      <c r="B27" s="6" t="n">
        <v>46073</v>
      </c>
      <c r="C27" s="3" t="s">
        <v>750</v>
      </c>
      <c r="D27" s="0" t="n">
        <v>51</v>
      </c>
      <c r="E27" s="0" t="n">
        <v>1332.45</v>
      </c>
      <c r="F27" s="6" t="n">
        <v>46072</v>
      </c>
      <c r="G27" s="3" t="s">
        <v>751</v>
      </c>
      <c r="H27" s="6" t="n">
        <v>46073</v>
      </c>
      <c r="I27" s="3" t="s">
        <v>380</v>
      </c>
      <c r="J27" s="3" t="s">
        <v>40</v>
      </c>
      <c r="K27" s="0" t="n">
        <v>3</v>
      </c>
      <c r="L27" s="0" t="n">
        <v>2</v>
      </c>
      <c r="M27" s="4" t="n">
        <f aca="false">E27*K27*L27</f>
        <v>7994.7</v>
      </c>
      <c r="N27" s="4" t="n">
        <f aca="false">M27*1.18</f>
        <v>9433.746</v>
      </c>
    </row>
    <row r="28" customFormat="false" ht="15" hidden="false" customHeight="false" outlineLevel="0" collapsed="false">
      <c r="A28" s="0" t="s">
        <v>29</v>
      </c>
      <c r="B28" s="6" t="n">
        <v>46074</v>
      </c>
      <c r="C28" s="3" t="s">
        <v>767</v>
      </c>
      <c r="D28" s="0" t="n">
        <v>180</v>
      </c>
      <c r="E28" s="0" t="n">
        <v>366.36</v>
      </c>
      <c r="F28" s="6" t="n">
        <v>46074</v>
      </c>
      <c r="G28" s="3" t="s">
        <v>768</v>
      </c>
      <c r="H28" s="6" t="n">
        <v>46074</v>
      </c>
      <c r="I28" s="3" t="s">
        <v>770</v>
      </c>
      <c r="J28" s="3" t="s">
        <v>40</v>
      </c>
      <c r="K28" s="0" t="n">
        <v>3</v>
      </c>
      <c r="L28" s="0" t="n">
        <v>1</v>
      </c>
      <c r="M28" s="4" t="n">
        <f aca="false">E28*K28*L28</f>
        <v>1099.08</v>
      </c>
      <c r="N28" s="4" t="n">
        <f aca="false">M28*1.18</f>
        <v>1296.9144</v>
      </c>
    </row>
    <row r="29" customFormat="false" ht="15" hidden="false" customHeight="false" outlineLevel="0" collapsed="false">
      <c r="A29" s="0" t="s">
        <v>29</v>
      </c>
      <c r="B29" s="6" t="n">
        <v>46074</v>
      </c>
      <c r="C29" s="3" t="s">
        <v>771</v>
      </c>
      <c r="D29" s="0" t="n">
        <v>176</v>
      </c>
      <c r="E29" s="0" t="n">
        <v>563.95</v>
      </c>
      <c r="F29" s="6" t="n">
        <v>46072</v>
      </c>
      <c r="G29" s="3" t="s">
        <v>774</v>
      </c>
      <c r="H29" s="6" t="n">
        <v>46074</v>
      </c>
      <c r="I29" s="3" t="s">
        <v>776</v>
      </c>
      <c r="J29" s="3" t="s">
        <v>40</v>
      </c>
      <c r="K29" s="0" t="n">
        <v>3</v>
      </c>
      <c r="L29" s="0" t="n">
        <v>3</v>
      </c>
      <c r="M29" s="4" t="n">
        <f aca="false">E29*K29*L29</f>
        <v>5075.55</v>
      </c>
      <c r="N29" s="4" t="n">
        <f aca="false">M29*1.18</f>
        <v>5989.149</v>
      </c>
    </row>
    <row r="30" customFormat="false" ht="15" hidden="false" customHeight="false" outlineLevel="0" collapsed="false">
      <c r="A30" s="0" t="s">
        <v>29</v>
      </c>
      <c r="B30" s="6" t="n">
        <v>46074</v>
      </c>
      <c r="C30" s="3" t="s">
        <v>777</v>
      </c>
      <c r="D30" s="0" t="n">
        <v>26</v>
      </c>
      <c r="E30" s="0" t="n">
        <v>2938.15</v>
      </c>
      <c r="F30" s="6" t="n">
        <v>46071</v>
      </c>
      <c r="G30" s="3" t="s">
        <v>71</v>
      </c>
      <c r="H30" s="6" t="n">
        <v>46074</v>
      </c>
      <c r="I30" s="3" t="s">
        <v>780</v>
      </c>
      <c r="J30" s="3" t="s">
        <v>40</v>
      </c>
      <c r="K30" s="0" t="n">
        <v>3</v>
      </c>
      <c r="L30" s="0" t="n">
        <v>3</v>
      </c>
      <c r="M30" s="4" t="n">
        <f aca="false">E30*K30*L30</f>
        <v>26443.35</v>
      </c>
      <c r="N30" s="4" t="n">
        <f aca="false">M30*1.18</f>
        <v>31203.153</v>
      </c>
    </row>
    <row r="31" customFormat="false" ht="15" hidden="false" customHeight="false" outlineLevel="0" collapsed="false">
      <c r="A31" s="0" t="s">
        <v>62</v>
      </c>
      <c r="B31" s="6" t="n">
        <v>46074</v>
      </c>
      <c r="C31" s="3" t="s">
        <v>781</v>
      </c>
      <c r="D31" s="0" t="n">
        <v>193</v>
      </c>
      <c r="E31" s="0" t="n">
        <v>3766.29</v>
      </c>
      <c r="F31" s="6" t="n">
        <v>46072</v>
      </c>
      <c r="G31" s="3" t="s">
        <v>784</v>
      </c>
      <c r="H31" s="6" t="n">
        <v>46074</v>
      </c>
      <c r="I31" s="3" t="s">
        <v>316</v>
      </c>
      <c r="J31" s="3" t="s">
        <v>40</v>
      </c>
      <c r="K31" s="0" t="n">
        <v>3</v>
      </c>
      <c r="L31" s="0" t="n">
        <v>1</v>
      </c>
      <c r="M31" s="4" t="n">
        <f aca="false">E31*K31*L31</f>
        <v>11298.87</v>
      </c>
      <c r="N31" s="4" t="n">
        <f aca="false">M31*1.18</f>
        <v>13332.6666</v>
      </c>
    </row>
    <row r="32" customFormat="false" ht="15" hidden="false" customHeight="false" outlineLevel="0" collapsed="false">
      <c r="A32" s="0" t="s">
        <v>29</v>
      </c>
      <c r="B32" s="6" t="n">
        <v>46075</v>
      </c>
      <c r="C32" s="3" t="s">
        <v>786</v>
      </c>
      <c r="D32" s="0" t="n">
        <v>206</v>
      </c>
      <c r="E32" s="0" t="n">
        <v>3233.15</v>
      </c>
      <c r="F32" s="6" t="n">
        <v>46074</v>
      </c>
      <c r="G32" s="3" t="s">
        <v>789</v>
      </c>
      <c r="H32" s="6" t="n">
        <v>46075</v>
      </c>
      <c r="I32" s="3" t="s">
        <v>791</v>
      </c>
      <c r="J32" s="3" t="s">
        <v>40</v>
      </c>
      <c r="K32" s="0" t="n">
        <v>3</v>
      </c>
      <c r="L32" s="0" t="n">
        <v>4</v>
      </c>
      <c r="M32" s="4" t="n">
        <f aca="false">E32*K32*L32</f>
        <v>38797.8</v>
      </c>
      <c r="N32" s="4" t="n">
        <f aca="false">M32*1.18</f>
        <v>45781.404</v>
      </c>
    </row>
    <row r="33" customFormat="false" ht="15" hidden="false" customHeight="false" outlineLevel="0" collapsed="false">
      <c r="A33" s="0" t="s">
        <v>29</v>
      </c>
      <c r="B33" s="6" t="n">
        <v>46075</v>
      </c>
      <c r="C33" s="3" t="s">
        <v>792</v>
      </c>
      <c r="D33" s="0" t="n">
        <v>35</v>
      </c>
      <c r="E33" s="0" t="n">
        <v>2619.5</v>
      </c>
      <c r="F33" s="6" t="n">
        <v>46072</v>
      </c>
      <c r="G33" s="3" t="s">
        <v>795</v>
      </c>
      <c r="H33" s="6" t="n">
        <v>46075</v>
      </c>
      <c r="I33" s="3" t="s">
        <v>797</v>
      </c>
      <c r="J33" s="3" t="s">
        <v>40</v>
      </c>
      <c r="K33" s="0" t="n">
        <v>3</v>
      </c>
      <c r="L33" s="0" t="n">
        <v>2</v>
      </c>
      <c r="M33" s="4" t="n">
        <f aca="false">E33*K33*L33</f>
        <v>15717</v>
      </c>
      <c r="N33" s="4" t="n">
        <f aca="false">M33*1.18</f>
        <v>18546.06</v>
      </c>
    </row>
    <row r="34" customFormat="false" ht="15" hidden="false" customHeight="false" outlineLevel="0" collapsed="false">
      <c r="A34" s="0" t="s">
        <v>62</v>
      </c>
      <c r="B34" s="6" t="n">
        <v>46075</v>
      </c>
      <c r="C34" s="3" t="s">
        <v>798</v>
      </c>
      <c r="D34" s="0" t="n">
        <v>192</v>
      </c>
      <c r="E34" s="0" t="n">
        <v>2678.41</v>
      </c>
      <c r="F34" s="6" t="n">
        <v>46075</v>
      </c>
      <c r="G34" s="3" t="s">
        <v>459</v>
      </c>
      <c r="H34" s="6" t="n">
        <v>46075</v>
      </c>
      <c r="I34" s="3" t="s">
        <v>802</v>
      </c>
      <c r="J34" s="3" t="s">
        <v>90</v>
      </c>
      <c r="K34" s="0" t="n">
        <v>3</v>
      </c>
      <c r="L34" s="0" t="n">
        <v>1</v>
      </c>
      <c r="M34" s="4" t="n">
        <f aca="false">E34*K34*L34</f>
        <v>8035.23</v>
      </c>
      <c r="N34" s="4" t="n">
        <f aca="false">M34*1.18</f>
        <v>9481.5714</v>
      </c>
    </row>
    <row r="35" customFormat="false" ht="15" hidden="false" customHeight="false" outlineLevel="0" collapsed="false">
      <c r="A35" s="0" t="s">
        <v>62</v>
      </c>
      <c r="B35" s="6" t="n">
        <v>46075</v>
      </c>
      <c r="C35" s="3" t="s">
        <v>803</v>
      </c>
      <c r="D35" s="0" t="n">
        <v>63</v>
      </c>
      <c r="E35" s="0" t="n">
        <v>1044.36</v>
      </c>
      <c r="F35" s="6" t="n">
        <v>46073</v>
      </c>
      <c r="G35" s="3" t="s">
        <v>805</v>
      </c>
      <c r="H35" s="6" t="n">
        <v>46075</v>
      </c>
      <c r="I35" s="3" t="s">
        <v>807</v>
      </c>
      <c r="J35" s="3" t="s">
        <v>40</v>
      </c>
      <c r="K35" s="0" t="n">
        <v>3</v>
      </c>
      <c r="L35" s="0" t="n">
        <v>1</v>
      </c>
      <c r="M35" s="4" t="n">
        <f aca="false">E35*K35*L35</f>
        <v>3133.08</v>
      </c>
      <c r="N35" s="4" t="n">
        <f aca="false">M35*1.18</f>
        <v>3697.0344</v>
      </c>
    </row>
    <row r="36" customFormat="false" ht="15" hidden="false" customHeight="false" outlineLevel="0" collapsed="false">
      <c r="A36" s="0" t="s">
        <v>62</v>
      </c>
      <c r="B36" s="6" t="n">
        <v>46075</v>
      </c>
      <c r="C36" s="3" t="s">
        <v>808</v>
      </c>
      <c r="D36" s="0" t="n">
        <v>192</v>
      </c>
      <c r="E36" s="0" t="n">
        <v>545.41</v>
      </c>
      <c r="F36" s="6" t="n">
        <v>46073</v>
      </c>
      <c r="G36" s="3" t="s">
        <v>617</v>
      </c>
      <c r="H36" s="6" t="n">
        <v>46075</v>
      </c>
      <c r="I36" s="3" t="s">
        <v>812</v>
      </c>
      <c r="J36" s="3" t="s">
        <v>40</v>
      </c>
      <c r="K36" s="0" t="n">
        <v>3</v>
      </c>
      <c r="L36" s="0" t="n">
        <v>4</v>
      </c>
      <c r="M36" s="4" t="n">
        <f aca="false">E36*K36*L36</f>
        <v>6544.92</v>
      </c>
      <c r="N36" s="4" t="n">
        <f aca="false">M36*1.18</f>
        <v>7723.0056</v>
      </c>
    </row>
    <row r="37" customFormat="false" ht="15" hidden="false" customHeight="false" outlineLevel="0" collapsed="false">
      <c r="A37" s="0" t="s">
        <v>29</v>
      </c>
      <c r="B37" s="6" t="n">
        <v>46076</v>
      </c>
      <c r="C37" s="3" t="s">
        <v>813</v>
      </c>
      <c r="D37" s="0" t="n">
        <v>164</v>
      </c>
      <c r="E37" s="0" t="n">
        <v>2696.28</v>
      </c>
      <c r="F37" s="6" t="n">
        <v>46075</v>
      </c>
      <c r="G37" s="3" t="s">
        <v>816</v>
      </c>
      <c r="H37" s="6" t="n">
        <v>46076</v>
      </c>
      <c r="I37" s="3" t="s">
        <v>818</v>
      </c>
      <c r="J37" s="3" t="s">
        <v>40</v>
      </c>
      <c r="K37" s="0" t="n">
        <v>3</v>
      </c>
      <c r="L37" s="0" t="n">
        <v>3</v>
      </c>
      <c r="M37" s="4" t="n">
        <f aca="false">E37*K37*L37</f>
        <v>24266.52</v>
      </c>
      <c r="N37" s="4" t="n">
        <f aca="false">M37*1.18</f>
        <v>28634.4936</v>
      </c>
    </row>
    <row r="38" customFormat="false" ht="15" hidden="false" customHeight="false" outlineLevel="0" collapsed="false">
      <c r="A38" s="0" t="s">
        <v>29</v>
      </c>
      <c r="B38" s="6" t="n">
        <v>46076</v>
      </c>
      <c r="C38" s="3" t="s">
        <v>823</v>
      </c>
      <c r="D38" s="0" t="n">
        <v>75</v>
      </c>
      <c r="E38" s="0" t="n">
        <v>3143.54</v>
      </c>
      <c r="F38" s="6" t="n">
        <v>46076</v>
      </c>
      <c r="G38" s="3" t="s">
        <v>825</v>
      </c>
      <c r="H38" s="6" t="n">
        <v>46076</v>
      </c>
      <c r="I38" s="3" t="s">
        <v>43</v>
      </c>
      <c r="J38" s="3" t="s">
        <v>40</v>
      </c>
      <c r="K38" s="0" t="n">
        <v>3</v>
      </c>
      <c r="L38" s="0" t="n">
        <v>4</v>
      </c>
      <c r="M38" s="4" t="n">
        <f aca="false">E38*K38*L38</f>
        <v>37722.48</v>
      </c>
      <c r="N38" s="4" t="n">
        <f aca="false">M38*1.18</f>
        <v>44512.5264</v>
      </c>
    </row>
    <row r="39" customFormat="false" ht="15" hidden="false" customHeight="false" outlineLevel="0" collapsed="false">
      <c r="A39" s="0" t="s">
        <v>62</v>
      </c>
      <c r="B39" s="6" t="n">
        <v>46076</v>
      </c>
      <c r="C39" s="3" t="s">
        <v>827</v>
      </c>
      <c r="D39" s="0" t="n">
        <v>132</v>
      </c>
      <c r="E39" s="0" t="n">
        <v>2895.61</v>
      </c>
      <c r="F39" s="6" t="n">
        <v>46074</v>
      </c>
      <c r="G39" s="3" t="s">
        <v>830</v>
      </c>
      <c r="H39" s="6" t="n">
        <v>46076</v>
      </c>
      <c r="I39" s="3" t="s">
        <v>325</v>
      </c>
      <c r="J39" s="3" t="s">
        <v>40</v>
      </c>
      <c r="K39" s="0" t="n">
        <v>3</v>
      </c>
      <c r="L39" s="0" t="n">
        <v>1</v>
      </c>
      <c r="M39" s="4" t="n">
        <f aca="false">E39*K39*L39</f>
        <v>8686.83</v>
      </c>
      <c r="N39" s="4" t="n">
        <f aca="false">M39*1.18</f>
        <v>10250.4594</v>
      </c>
    </row>
    <row r="40" customFormat="false" ht="15" hidden="false" customHeight="false" outlineLevel="0" collapsed="false">
      <c r="A40" s="0" t="s">
        <v>62</v>
      </c>
      <c r="B40" s="6" t="n">
        <v>46077</v>
      </c>
      <c r="C40" s="3" t="s">
        <v>842</v>
      </c>
      <c r="D40" s="0" t="n">
        <v>109</v>
      </c>
      <c r="E40" s="0" t="n">
        <v>500.91</v>
      </c>
      <c r="F40" s="6" t="n">
        <v>46077</v>
      </c>
      <c r="G40" s="3" t="s">
        <v>844</v>
      </c>
      <c r="H40" s="6" t="n">
        <v>46077</v>
      </c>
      <c r="I40" s="3" t="s">
        <v>846</v>
      </c>
      <c r="J40" s="3" t="s">
        <v>40</v>
      </c>
      <c r="K40" s="0" t="n">
        <v>3</v>
      </c>
      <c r="L40" s="0" t="n">
        <v>1</v>
      </c>
      <c r="M40" s="4" t="n">
        <f aca="false">E40*K40*L40</f>
        <v>1502.73</v>
      </c>
      <c r="N40" s="4" t="n">
        <f aca="false">M40*1.18</f>
        <v>1773.2214</v>
      </c>
    </row>
    <row r="41" customFormat="false" ht="15" hidden="false" customHeight="false" outlineLevel="0" collapsed="false">
      <c r="A41" s="0" t="s">
        <v>62</v>
      </c>
      <c r="B41" s="6" t="n">
        <v>46077</v>
      </c>
      <c r="C41" s="3" t="s">
        <v>847</v>
      </c>
      <c r="D41" s="0" t="n">
        <v>32</v>
      </c>
      <c r="E41" s="0" t="n">
        <v>287.54</v>
      </c>
      <c r="F41" s="6" t="n">
        <v>46076</v>
      </c>
      <c r="G41" s="3" t="s">
        <v>849</v>
      </c>
      <c r="H41" s="6" t="n">
        <v>46077</v>
      </c>
      <c r="I41" s="3" t="s">
        <v>851</v>
      </c>
      <c r="J41" s="3" t="s">
        <v>354</v>
      </c>
      <c r="K41" s="0" t="n">
        <v>12</v>
      </c>
      <c r="L41" s="0" t="n">
        <v>2</v>
      </c>
      <c r="M41" s="4" t="n">
        <f aca="false">E41*K41*L41</f>
        <v>6900.96</v>
      </c>
      <c r="N41" s="4" t="n">
        <f aca="false">M41*1.18</f>
        <v>8143.1328</v>
      </c>
    </row>
    <row r="42" customFormat="false" ht="15" hidden="false" customHeight="false" outlineLevel="0" collapsed="false">
      <c r="A42" s="0" t="s">
        <v>62</v>
      </c>
      <c r="B42" s="6" t="n">
        <v>46077</v>
      </c>
      <c r="C42" s="3" t="s">
        <v>852</v>
      </c>
      <c r="D42" s="0" t="n">
        <v>195</v>
      </c>
      <c r="E42" s="0" t="n">
        <v>2245.84</v>
      </c>
      <c r="F42" s="6" t="n">
        <v>46075</v>
      </c>
      <c r="G42" s="3" t="s">
        <v>257</v>
      </c>
      <c r="H42" s="6" t="n">
        <v>46077</v>
      </c>
      <c r="I42" s="3" t="s">
        <v>395</v>
      </c>
      <c r="J42" s="3" t="s">
        <v>398</v>
      </c>
      <c r="K42" s="0" t="n">
        <v>12</v>
      </c>
      <c r="L42" s="0" t="n">
        <v>3</v>
      </c>
      <c r="M42" s="4" t="n">
        <f aca="false">E42*K42*L42</f>
        <v>80850.24</v>
      </c>
      <c r="N42" s="4" t="n">
        <f aca="false">M42*1.18</f>
        <v>95403.2832</v>
      </c>
    </row>
    <row r="43" customFormat="false" ht="15" hidden="false" customHeight="false" outlineLevel="0" collapsed="false">
      <c r="A43" s="0" t="s">
        <v>29</v>
      </c>
      <c r="B43" s="6" t="n">
        <v>46078</v>
      </c>
      <c r="C43" s="3" t="s">
        <v>856</v>
      </c>
      <c r="D43" s="0" t="n">
        <v>130</v>
      </c>
      <c r="E43" s="0" t="n">
        <v>3721.28</v>
      </c>
      <c r="F43" s="6" t="n">
        <v>46076</v>
      </c>
      <c r="G43" s="3" t="s">
        <v>859</v>
      </c>
      <c r="H43" s="6" t="n">
        <v>46078</v>
      </c>
      <c r="I43" s="3" t="s">
        <v>167</v>
      </c>
      <c r="J43" s="3" t="s">
        <v>40</v>
      </c>
      <c r="K43" s="0" t="n">
        <v>3</v>
      </c>
      <c r="L43" s="0" t="n">
        <v>3</v>
      </c>
      <c r="M43" s="4" t="n">
        <f aca="false">E43*K43*L43</f>
        <v>33491.52</v>
      </c>
      <c r="N43" s="4" t="n">
        <f aca="false">M43*1.18</f>
        <v>39519.9936</v>
      </c>
    </row>
    <row r="44" customFormat="false" ht="15" hidden="false" customHeight="false" outlineLevel="0" collapsed="false">
      <c r="A44" s="0" t="s">
        <v>29</v>
      </c>
      <c r="B44" s="6" t="n">
        <v>46078</v>
      </c>
      <c r="C44" s="3" t="s">
        <v>861</v>
      </c>
      <c r="D44" s="0" t="n">
        <v>30</v>
      </c>
      <c r="E44" s="0" t="n">
        <v>2319.97</v>
      </c>
      <c r="F44" s="6" t="n">
        <v>46075</v>
      </c>
      <c r="G44" s="3" t="s">
        <v>864</v>
      </c>
      <c r="H44" s="6" t="n">
        <v>46078</v>
      </c>
      <c r="I44" s="3" t="s">
        <v>866</v>
      </c>
      <c r="J44" s="3" t="s">
        <v>40</v>
      </c>
      <c r="K44" s="0" t="n">
        <v>3</v>
      </c>
      <c r="L44" s="0" t="n">
        <v>2</v>
      </c>
      <c r="M44" s="4" t="n">
        <f aca="false">E44*K44*L44</f>
        <v>13919.82</v>
      </c>
      <c r="N44" s="4" t="n">
        <f aca="false">M44*1.18</f>
        <v>16425.3876</v>
      </c>
    </row>
    <row r="45" customFormat="false" ht="15" hidden="false" customHeight="false" outlineLevel="0" collapsed="false">
      <c r="A45" s="0" t="s">
        <v>29</v>
      </c>
      <c r="B45" s="6" t="n">
        <v>46078</v>
      </c>
      <c r="C45" s="3" t="s">
        <v>867</v>
      </c>
      <c r="D45" s="0" t="n">
        <v>87</v>
      </c>
      <c r="E45" s="0" t="n">
        <v>79.17</v>
      </c>
      <c r="F45" s="6" t="n">
        <v>46077</v>
      </c>
      <c r="G45" s="3" t="s">
        <v>869</v>
      </c>
      <c r="H45" s="6" t="n">
        <v>46078</v>
      </c>
      <c r="I45" s="3" t="s">
        <v>871</v>
      </c>
      <c r="J45" s="3" t="s">
        <v>129</v>
      </c>
      <c r="K45" s="0" t="n">
        <v>5</v>
      </c>
      <c r="L45" s="0" t="n">
        <v>1</v>
      </c>
      <c r="M45" s="4" t="n">
        <f aca="false">E45*K45*L45</f>
        <v>395.85</v>
      </c>
      <c r="N45" s="4" t="n">
        <f aca="false">M45*1.18</f>
        <v>467.103</v>
      </c>
    </row>
    <row r="46" customFormat="false" ht="15" hidden="false" customHeight="false" outlineLevel="0" collapsed="false">
      <c r="A46" s="0" t="s">
        <v>62</v>
      </c>
      <c r="B46" s="6" t="n">
        <v>46078</v>
      </c>
      <c r="C46" s="3" t="s">
        <v>877</v>
      </c>
      <c r="D46" s="0" t="n">
        <v>43</v>
      </c>
      <c r="E46" s="0" t="n">
        <v>1488.15</v>
      </c>
      <c r="F46" s="6" t="n">
        <v>46076</v>
      </c>
      <c r="G46" s="3" t="s">
        <v>880</v>
      </c>
      <c r="H46" s="6" t="n">
        <v>46078</v>
      </c>
      <c r="I46" s="3" t="s">
        <v>882</v>
      </c>
      <c r="J46" s="3" t="s">
        <v>90</v>
      </c>
      <c r="K46" s="0" t="n">
        <v>3</v>
      </c>
      <c r="L46" s="0" t="n">
        <v>2</v>
      </c>
      <c r="M46" s="4" t="n">
        <f aca="false">E46*K46*L46</f>
        <v>8928.9</v>
      </c>
      <c r="N46" s="4" t="n">
        <f aca="false">M46*1.18</f>
        <v>10536.102</v>
      </c>
    </row>
    <row r="47" customFormat="false" ht="15" hidden="false" customHeight="false" outlineLevel="0" collapsed="false">
      <c r="A47" s="0" t="s">
        <v>62</v>
      </c>
      <c r="B47" s="6" t="n">
        <v>46079</v>
      </c>
      <c r="C47" s="3" t="s">
        <v>883</v>
      </c>
      <c r="D47" s="0" t="n">
        <v>73</v>
      </c>
      <c r="E47" s="0" t="n">
        <v>2837.52</v>
      </c>
      <c r="F47" s="6" t="n">
        <v>46077</v>
      </c>
      <c r="G47" s="3" t="s">
        <v>886</v>
      </c>
      <c r="H47" s="6" t="n">
        <v>46079</v>
      </c>
      <c r="I47" s="3" t="s">
        <v>888</v>
      </c>
      <c r="J47" s="3" t="s">
        <v>40</v>
      </c>
      <c r="K47" s="0" t="n">
        <v>3</v>
      </c>
      <c r="L47" s="0" t="n">
        <v>1</v>
      </c>
      <c r="M47" s="4" t="n">
        <f aca="false">E47*K47*L47</f>
        <v>8512.56</v>
      </c>
      <c r="N47" s="4" t="n">
        <f aca="false">M47*1.18</f>
        <v>10044.8208</v>
      </c>
    </row>
    <row r="48" customFormat="false" ht="15" hidden="false" customHeight="false" outlineLevel="0" collapsed="false">
      <c r="A48" s="0" t="s">
        <v>62</v>
      </c>
      <c r="B48" s="6" t="n">
        <v>46079</v>
      </c>
      <c r="C48" s="3" t="s">
        <v>889</v>
      </c>
      <c r="D48" s="0" t="n">
        <v>211</v>
      </c>
      <c r="E48" s="0" t="n">
        <v>364.87</v>
      </c>
      <c r="F48" s="6" t="n">
        <v>46079</v>
      </c>
      <c r="G48" s="3" t="s">
        <v>892</v>
      </c>
      <c r="H48" s="6" t="n">
        <v>46079</v>
      </c>
      <c r="I48" s="3" t="s">
        <v>232</v>
      </c>
      <c r="J48" s="3" t="s">
        <v>40</v>
      </c>
      <c r="K48" s="0" t="n">
        <v>3</v>
      </c>
      <c r="L48" s="0" t="n">
        <v>2</v>
      </c>
      <c r="M48" s="4" t="n">
        <f aca="false">E48*K48*L48</f>
        <v>2189.22</v>
      </c>
      <c r="N48" s="4" t="n">
        <f aca="false">M48*1.18</f>
        <v>2583.2796</v>
      </c>
    </row>
    <row r="49" customFormat="false" ht="15" hidden="false" customHeight="false" outlineLevel="0" collapsed="false">
      <c r="A49" s="0" t="s">
        <v>62</v>
      </c>
      <c r="B49" s="6" t="n">
        <v>46079</v>
      </c>
      <c r="C49" s="3" t="s">
        <v>897</v>
      </c>
      <c r="D49" s="0" t="n">
        <v>220</v>
      </c>
      <c r="E49" s="0" t="n">
        <v>1165.12</v>
      </c>
      <c r="F49" s="6" t="n">
        <v>46076</v>
      </c>
      <c r="G49" s="3" t="s">
        <v>899</v>
      </c>
      <c r="H49" s="6" t="n">
        <v>46079</v>
      </c>
      <c r="I49" s="3" t="s">
        <v>901</v>
      </c>
      <c r="J49" s="3" t="s">
        <v>248</v>
      </c>
      <c r="K49" s="0" t="n">
        <v>3</v>
      </c>
      <c r="L49" s="0" t="n">
        <v>1</v>
      </c>
      <c r="M49" s="4" t="n">
        <f aca="false">E49*K49*L49</f>
        <v>3495.36</v>
      </c>
      <c r="N49" s="4" t="n">
        <f aca="false">M49*1.18</f>
        <v>4124.5248</v>
      </c>
    </row>
    <row r="50" customFormat="false" ht="15" hidden="false" customHeight="false" outlineLevel="0" collapsed="false">
      <c r="A50" s="0" t="s">
        <v>29</v>
      </c>
      <c r="B50" s="6" t="n">
        <v>46080</v>
      </c>
      <c r="C50" s="3" t="s">
        <v>902</v>
      </c>
      <c r="D50" s="0" t="n">
        <v>149</v>
      </c>
      <c r="E50" s="0" t="n">
        <v>3306.09</v>
      </c>
      <c r="F50" s="6" t="n">
        <v>46078</v>
      </c>
      <c r="G50" s="3" t="s">
        <v>905</v>
      </c>
      <c r="H50" s="6" t="n">
        <v>46080</v>
      </c>
      <c r="I50" s="3" t="s">
        <v>907</v>
      </c>
      <c r="J50" s="3" t="s">
        <v>354</v>
      </c>
      <c r="K50" s="0" t="n">
        <v>12</v>
      </c>
      <c r="L50" s="0" t="n">
        <v>3</v>
      </c>
      <c r="M50" s="4" t="n">
        <f aca="false">E50*K50*L50</f>
        <v>119019.24</v>
      </c>
      <c r="N50" s="4" t="n">
        <f aca="false">M50*1.18</f>
        <v>140442.7032</v>
      </c>
    </row>
    <row r="51" customFormat="false" ht="15" hidden="false" customHeight="false" outlineLevel="0" collapsed="false">
      <c r="A51" s="0" t="s">
        <v>62</v>
      </c>
      <c r="B51" s="6" t="n">
        <v>46080</v>
      </c>
      <c r="C51" s="3" t="s">
        <v>917</v>
      </c>
      <c r="D51" s="0" t="n">
        <v>182</v>
      </c>
      <c r="E51" s="0" t="n">
        <v>3497.41</v>
      </c>
      <c r="F51" s="6" t="n">
        <v>46077</v>
      </c>
      <c r="G51" s="3" t="s">
        <v>920</v>
      </c>
      <c r="H51" s="6" t="n">
        <v>46080</v>
      </c>
      <c r="I51" s="3" t="s">
        <v>922</v>
      </c>
      <c r="J51" s="3" t="s">
        <v>354</v>
      </c>
      <c r="K51" s="0" t="n">
        <v>12</v>
      </c>
      <c r="L51" s="0" t="n">
        <v>3</v>
      </c>
      <c r="M51" s="4" t="n">
        <f aca="false">E51*K51*L51</f>
        <v>125906.76</v>
      </c>
      <c r="N51" s="4" t="n">
        <f aca="false">M51*1.18</f>
        <v>148569.9768</v>
      </c>
    </row>
    <row r="52" customFormat="false" ht="15" hidden="false" customHeight="false" outlineLevel="0" collapsed="false">
      <c r="A52" s="0" t="s">
        <v>29</v>
      </c>
      <c r="B52" s="6" t="n">
        <v>46081</v>
      </c>
      <c r="C52" s="3" t="s">
        <v>923</v>
      </c>
      <c r="D52" s="0" t="n">
        <v>28</v>
      </c>
      <c r="E52" s="0" t="n">
        <v>530.46</v>
      </c>
      <c r="F52" s="6" t="n">
        <v>46079</v>
      </c>
      <c r="G52" s="3" t="s">
        <v>925</v>
      </c>
      <c r="H52" s="6" t="n">
        <v>46081</v>
      </c>
      <c r="I52" s="3" t="s">
        <v>927</v>
      </c>
      <c r="J52" s="3" t="s">
        <v>248</v>
      </c>
      <c r="K52" s="0" t="n">
        <v>3</v>
      </c>
      <c r="L52" s="0" t="n">
        <v>2</v>
      </c>
      <c r="M52" s="4" t="n">
        <f aca="false">E52*K52*L52</f>
        <v>3182.76</v>
      </c>
      <c r="N52" s="4" t="n">
        <f aca="false">M52*1.18</f>
        <v>3755.6568</v>
      </c>
    </row>
    <row r="53" customFormat="false" ht="15" hidden="false" customHeight="false" outlineLevel="0" collapsed="false">
      <c r="A53" s="0" t="s">
        <v>62</v>
      </c>
      <c r="B53" s="6" t="n">
        <v>46081</v>
      </c>
      <c r="C53" s="3" t="s">
        <v>928</v>
      </c>
      <c r="D53" s="0" t="n">
        <v>17</v>
      </c>
      <c r="E53" s="0" t="n">
        <v>1859.97</v>
      </c>
      <c r="F53" s="6" t="n">
        <v>46080</v>
      </c>
      <c r="G53" s="3" t="s">
        <v>931</v>
      </c>
      <c r="H53" s="6" t="n">
        <v>46081</v>
      </c>
      <c r="I53" s="3" t="s">
        <v>933</v>
      </c>
      <c r="J53" s="3" t="s">
        <v>40</v>
      </c>
      <c r="K53" s="0" t="n">
        <v>3</v>
      </c>
      <c r="L53" s="0" t="n">
        <v>2</v>
      </c>
      <c r="M53" s="4" t="n">
        <f aca="false">E53*K53*L53</f>
        <v>11159.82</v>
      </c>
      <c r="N53" s="4" t="n">
        <f aca="false">M53*1.18</f>
        <v>13168.5876</v>
      </c>
    </row>
    <row r="54" customFormat="false" ht="15" hidden="false" customHeight="false" outlineLevel="0" collapsed="false">
      <c r="A54" s="0" t="s">
        <v>62</v>
      </c>
      <c r="B54" s="6" t="n">
        <v>46081</v>
      </c>
      <c r="C54" s="3" t="s">
        <v>934</v>
      </c>
      <c r="D54" s="0" t="n">
        <v>3</v>
      </c>
      <c r="E54" s="0" t="n">
        <v>2302.42</v>
      </c>
      <c r="F54" s="6" t="n">
        <v>46081</v>
      </c>
      <c r="G54" s="3" t="s">
        <v>121</v>
      </c>
      <c r="H54" s="6" t="n">
        <v>46081</v>
      </c>
      <c r="I54" s="3" t="s">
        <v>937</v>
      </c>
      <c r="J54" s="3" t="s">
        <v>40</v>
      </c>
      <c r="K54" s="0" t="n">
        <v>3</v>
      </c>
      <c r="L54" s="0" t="n">
        <v>3</v>
      </c>
      <c r="M54" s="4" t="n">
        <f aca="false">E54*K54*L54</f>
        <v>20721.78</v>
      </c>
      <c r="N54" s="4" t="n">
        <f aca="false">M54*1.18</f>
        <v>24451.7004</v>
      </c>
    </row>
    <row r="55" customFormat="false" ht="15" hidden="false" customHeight="false" outlineLevel="0" collapsed="false">
      <c r="M55" s="7" t="n">
        <f aca="false">SUM(M4:M54)</f>
        <v>1007030.36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6"/>
  </cols>
  <sheetData>
    <row r="1" customFormat="false" ht="15" hidden="false" customHeight="false" outlineLevel="0" collapsed="false">
      <c r="A1" s="5" t="s">
        <v>481</v>
      </c>
    </row>
    <row r="2" customFormat="false" ht="15" hidden="false" customHeight="false" outlineLevel="0" collapsed="false">
      <c r="B2" s="0" t="s">
        <v>482</v>
      </c>
    </row>
    <row r="3" customFormat="false" ht="23.85" hidden="false" customHeight="false" outlineLevel="0" collapsed="false">
      <c r="A3" s="1" t="s">
        <v>483</v>
      </c>
      <c r="B3" s="1" t="s">
        <v>1</v>
      </c>
      <c r="C3" s="1" t="s">
        <v>484</v>
      </c>
      <c r="D3" s="1" t="s">
        <v>485</v>
      </c>
      <c r="E3" s="1" t="s">
        <v>486</v>
      </c>
      <c r="F3" s="1" t="s">
        <v>487</v>
      </c>
      <c r="G3" s="1" t="s">
        <v>488</v>
      </c>
      <c r="H3" s="1" t="s">
        <v>477</v>
      </c>
      <c r="I3" s="1" t="s">
        <v>489</v>
      </c>
    </row>
    <row r="4" customFormat="false" ht="15" hidden="false" customHeight="false" outlineLevel="0" collapsed="false">
      <c r="A4" s="0" t="n">
        <v>1</v>
      </c>
      <c r="B4" s="6" t="n">
        <v>46069</v>
      </c>
      <c r="C4" s="3" t="s">
        <v>938</v>
      </c>
      <c r="D4" s="0" t="n">
        <v>198</v>
      </c>
      <c r="E4" s="0" t="n">
        <v>938.88</v>
      </c>
      <c r="F4" s="4" t="n">
        <f aca="false">E4*2</f>
        <v>1877.76</v>
      </c>
      <c r="G4" s="4" t="n">
        <f aca="false">F4*0.18</f>
        <v>337.9968</v>
      </c>
      <c r="H4" s="4" t="n">
        <f aca="false">F4+G4</f>
        <v>2215.7568</v>
      </c>
      <c r="I4" s="0" t="n">
        <v>2</v>
      </c>
    </row>
    <row r="5" customFormat="false" ht="15" hidden="false" customHeight="false" outlineLevel="0" collapsed="false">
      <c r="A5" s="0" t="n">
        <v>2</v>
      </c>
      <c r="B5" s="6" t="n">
        <v>46069</v>
      </c>
      <c r="C5" s="3" t="s">
        <v>939</v>
      </c>
      <c r="D5" s="0" t="n">
        <v>6</v>
      </c>
      <c r="E5" s="0" t="n">
        <v>2047.63</v>
      </c>
      <c r="F5" s="4" t="n">
        <f aca="false">E5*2</f>
        <v>4095.26</v>
      </c>
      <c r="G5" s="4" t="n">
        <f aca="false">F5*0.18</f>
        <v>737.1468</v>
      </c>
      <c r="H5" s="4" t="n">
        <f aca="false">F5+G5</f>
        <v>4832.4068</v>
      </c>
      <c r="I5" s="0" t="n">
        <v>2</v>
      </c>
    </row>
    <row r="6" customFormat="false" ht="15" hidden="false" customHeight="false" outlineLevel="0" collapsed="false">
      <c r="A6" s="0" t="n">
        <v>3</v>
      </c>
      <c r="B6" s="6" t="n">
        <v>46069</v>
      </c>
      <c r="C6" s="3" t="s">
        <v>940</v>
      </c>
      <c r="D6" s="0" t="n">
        <v>162</v>
      </c>
      <c r="E6" s="0" t="n">
        <v>970.93</v>
      </c>
      <c r="F6" s="4" t="n">
        <f aca="false">E6*2</f>
        <v>1941.86</v>
      </c>
      <c r="G6" s="4" t="n">
        <f aca="false">F6*0.18</f>
        <v>349.5348</v>
      </c>
      <c r="H6" s="4" t="n">
        <f aca="false">F6+G6</f>
        <v>2291.3948</v>
      </c>
      <c r="I6" s="0" t="n">
        <v>2</v>
      </c>
    </row>
    <row r="7" customFormat="false" ht="15" hidden="false" customHeight="false" outlineLevel="0" collapsed="false">
      <c r="A7" s="0" t="n">
        <v>4</v>
      </c>
      <c r="B7" s="6" t="n">
        <v>46069</v>
      </c>
      <c r="C7" s="3" t="s">
        <v>941</v>
      </c>
      <c r="D7" s="0" t="n">
        <v>32</v>
      </c>
      <c r="E7" s="0" t="n">
        <v>2160.66</v>
      </c>
      <c r="F7" s="4" t="n">
        <f aca="false">E7*2</f>
        <v>4321.32</v>
      </c>
      <c r="G7" s="4" t="n">
        <f aca="false">F7*0.18</f>
        <v>777.8376</v>
      </c>
      <c r="H7" s="4" t="n">
        <f aca="false">F7+G7</f>
        <v>5099.1576</v>
      </c>
      <c r="I7" s="0" t="n">
        <v>2</v>
      </c>
    </row>
    <row r="8" customFormat="false" ht="15" hidden="false" customHeight="false" outlineLevel="0" collapsed="false">
      <c r="A8" s="0" t="n">
        <v>5</v>
      </c>
      <c r="B8" s="6" t="n">
        <v>46069</v>
      </c>
      <c r="C8" s="3" t="s">
        <v>942</v>
      </c>
      <c r="D8" s="0" t="n">
        <v>158</v>
      </c>
      <c r="E8" s="0" t="n">
        <v>2633.5</v>
      </c>
      <c r="F8" s="4" t="n">
        <f aca="false">E8*2</f>
        <v>5267</v>
      </c>
      <c r="G8" s="4" t="n">
        <f aca="false">F8*0.18</f>
        <v>948.06</v>
      </c>
      <c r="H8" s="4" t="n">
        <f aca="false">F8+G8</f>
        <v>6215.06</v>
      </c>
      <c r="I8" s="0" t="n">
        <v>2</v>
      </c>
    </row>
    <row r="9" customFormat="false" ht="15" hidden="false" customHeight="false" outlineLevel="0" collapsed="false">
      <c r="A9" s="0" t="n">
        <v>6</v>
      </c>
      <c r="B9" s="6" t="n">
        <v>46069</v>
      </c>
      <c r="C9" s="3" t="s">
        <v>943</v>
      </c>
      <c r="D9" s="0" t="n">
        <v>172</v>
      </c>
      <c r="E9" s="0" t="n">
        <v>2682.7</v>
      </c>
      <c r="F9" s="4" t="n">
        <f aca="false">E9*2</f>
        <v>5365.4</v>
      </c>
      <c r="G9" s="4" t="n">
        <f aca="false">F9*0.18</f>
        <v>965.772</v>
      </c>
      <c r="H9" s="4" t="n">
        <f aca="false">F9+G9</f>
        <v>6331.172</v>
      </c>
      <c r="I9" s="0" t="n">
        <v>2</v>
      </c>
    </row>
    <row r="10" customFormat="false" ht="15" hidden="false" customHeight="false" outlineLevel="0" collapsed="false">
      <c r="A10" s="0" t="n">
        <v>7</v>
      </c>
      <c r="B10" s="6" t="n">
        <v>46070</v>
      </c>
      <c r="C10" s="3" t="s">
        <v>944</v>
      </c>
      <c r="D10" s="0" t="n">
        <v>37</v>
      </c>
      <c r="E10" s="0" t="n">
        <v>2463.05</v>
      </c>
      <c r="F10" s="4" t="n">
        <f aca="false">E10*2</f>
        <v>4926.1</v>
      </c>
      <c r="G10" s="4" t="n">
        <f aca="false">F10*0.18</f>
        <v>886.698</v>
      </c>
      <c r="H10" s="4" t="n">
        <f aca="false">F10+G10</f>
        <v>5812.798</v>
      </c>
      <c r="I10" s="0" t="n">
        <v>2</v>
      </c>
    </row>
    <row r="11" customFormat="false" ht="15" hidden="false" customHeight="false" outlineLevel="0" collapsed="false">
      <c r="A11" s="0" t="n">
        <v>8</v>
      </c>
      <c r="B11" s="6" t="n">
        <v>46070</v>
      </c>
      <c r="C11" s="3" t="s">
        <v>945</v>
      </c>
      <c r="D11" s="0" t="n">
        <v>133</v>
      </c>
      <c r="E11" s="0" t="n">
        <v>2433.76</v>
      </c>
      <c r="F11" s="4" t="n">
        <f aca="false">E11*2</f>
        <v>4867.52</v>
      </c>
      <c r="G11" s="4" t="n">
        <f aca="false">F11*0.18</f>
        <v>876.1536</v>
      </c>
      <c r="H11" s="4" t="n">
        <f aca="false">F11+G11</f>
        <v>5743.6736</v>
      </c>
      <c r="I11" s="0" t="n">
        <v>2</v>
      </c>
    </row>
    <row r="12" customFormat="false" ht="15" hidden="false" customHeight="false" outlineLevel="0" collapsed="false">
      <c r="A12" s="0" t="n">
        <v>9</v>
      </c>
      <c r="B12" s="6" t="n">
        <v>46070</v>
      </c>
      <c r="C12" s="3" t="s">
        <v>946</v>
      </c>
      <c r="D12" s="0" t="n">
        <v>201</v>
      </c>
      <c r="E12" s="0" t="n">
        <v>1232.75</v>
      </c>
      <c r="F12" s="4" t="n">
        <f aca="false">E12*2</f>
        <v>2465.5</v>
      </c>
      <c r="G12" s="4" t="n">
        <f aca="false">F12*0.18</f>
        <v>443.79</v>
      </c>
      <c r="H12" s="4" t="n">
        <f aca="false">F12+G12</f>
        <v>2909.29</v>
      </c>
      <c r="I12" s="0" t="n">
        <v>2</v>
      </c>
    </row>
    <row r="13" customFormat="false" ht="15" hidden="false" customHeight="false" outlineLevel="0" collapsed="false">
      <c r="A13" s="0" t="n">
        <v>10</v>
      </c>
      <c r="B13" s="6" t="n">
        <v>46070</v>
      </c>
      <c r="C13" s="3" t="s">
        <v>947</v>
      </c>
      <c r="D13" s="0" t="n">
        <v>146</v>
      </c>
      <c r="E13" s="0" t="n">
        <v>2913.88</v>
      </c>
      <c r="F13" s="4" t="n">
        <f aca="false">E13*2</f>
        <v>5827.76</v>
      </c>
      <c r="G13" s="4" t="n">
        <f aca="false">F13*0.18</f>
        <v>1048.9968</v>
      </c>
      <c r="H13" s="4" t="n">
        <f aca="false">F13+G13</f>
        <v>6876.7568</v>
      </c>
      <c r="I13" s="0" t="n">
        <v>2</v>
      </c>
    </row>
    <row r="14" customFormat="false" ht="15" hidden="false" customHeight="false" outlineLevel="0" collapsed="false">
      <c r="A14" s="0" t="n">
        <v>11</v>
      </c>
      <c r="B14" s="6" t="n">
        <v>46070</v>
      </c>
      <c r="C14" s="3" t="s">
        <v>948</v>
      </c>
      <c r="D14" s="0" t="n">
        <v>138</v>
      </c>
      <c r="E14" s="0" t="n">
        <v>3624.11</v>
      </c>
      <c r="F14" s="4" t="n">
        <f aca="false">E14*2</f>
        <v>7248.22</v>
      </c>
      <c r="G14" s="4" t="n">
        <f aca="false">F14*0.18</f>
        <v>1304.6796</v>
      </c>
      <c r="H14" s="4" t="n">
        <f aca="false">F14+G14</f>
        <v>8552.8996</v>
      </c>
      <c r="I14" s="0" t="n">
        <v>2</v>
      </c>
    </row>
    <row r="15" customFormat="false" ht="15" hidden="false" customHeight="false" outlineLevel="0" collapsed="false">
      <c r="A15" s="0" t="n">
        <v>12</v>
      </c>
      <c r="B15" s="6" t="n">
        <v>46070</v>
      </c>
      <c r="C15" s="3" t="s">
        <v>949</v>
      </c>
      <c r="D15" s="0" t="n">
        <v>22</v>
      </c>
      <c r="E15" s="0" t="n">
        <v>187.04</v>
      </c>
      <c r="F15" s="4" t="n">
        <f aca="false">E15*2</f>
        <v>374.08</v>
      </c>
      <c r="G15" s="4" t="n">
        <f aca="false">F15*0.18</f>
        <v>67.3344</v>
      </c>
      <c r="H15" s="4" t="n">
        <f aca="false">F15+G15</f>
        <v>441.4144</v>
      </c>
      <c r="I15" s="0" t="n">
        <v>2</v>
      </c>
    </row>
    <row r="16" customFormat="false" ht="15" hidden="false" customHeight="false" outlineLevel="0" collapsed="false">
      <c r="A16" s="0" t="n">
        <v>13</v>
      </c>
      <c r="B16" s="6" t="n">
        <v>46070</v>
      </c>
      <c r="C16" s="3" t="s">
        <v>950</v>
      </c>
      <c r="D16" s="0" t="n">
        <v>214</v>
      </c>
      <c r="E16" s="0" t="n">
        <v>1219.29</v>
      </c>
      <c r="F16" s="4" t="n">
        <f aca="false">E16*2</f>
        <v>2438.58</v>
      </c>
      <c r="G16" s="4" t="n">
        <f aca="false">F16*0.18</f>
        <v>438.9444</v>
      </c>
      <c r="H16" s="4" t="n">
        <f aca="false">F16+G16</f>
        <v>2877.5244</v>
      </c>
      <c r="I16" s="0" t="n">
        <v>2</v>
      </c>
    </row>
    <row r="17" customFormat="false" ht="15" hidden="false" customHeight="false" outlineLevel="0" collapsed="false">
      <c r="A17" s="0" t="n">
        <v>14</v>
      </c>
      <c r="B17" s="6" t="n">
        <v>46070</v>
      </c>
      <c r="C17" s="3" t="s">
        <v>951</v>
      </c>
      <c r="D17" s="0" t="n">
        <v>176</v>
      </c>
      <c r="E17" s="0" t="n">
        <v>100.76</v>
      </c>
      <c r="F17" s="4" t="n">
        <f aca="false">E17*2</f>
        <v>201.52</v>
      </c>
      <c r="G17" s="4" t="n">
        <f aca="false">F17*0.18</f>
        <v>36.2736</v>
      </c>
      <c r="H17" s="4" t="n">
        <f aca="false">F17+G17</f>
        <v>237.7936</v>
      </c>
      <c r="I17" s="0" t="n">
        <v>2</v>
      </c>
    </row>
    <row r="18" customFormat="false" ht="15" hidden="false" customHeight="false" outlineLevel="0" collapsed="false">
      <c r="A18" s="0" t="n">
        <v>15</v>
      </c>
      <c r="B18" s="6" t="n">
        <v>46070</v>
      </c>
      <c r="C18" s="3" t="s">
        <v>952</v>
      </c>
      <c r="D18" s="0" t="n">
        <v>176</v>
      </c>
      <c r="E18" s="0" t="n">
        <v>2612.51</v>
      </c>
      <c r="F18" s="4" t="n">
        <f aca="false">E18*2</f>
        <v>5225.02</v>
      </c>
      <c r="G18" s="4" t="n">
        <f aca="false">F18*0.18</f>
        <v>940.5036</v>
      </c>
      <c r="H18" s="4" t="n">
        <f aca="false">F18+G18</f>
        <v>6165.5236</v>
      </c>
      <c r="I18" s="0" t="n">
        <v>2</v>
      </c>
    </row>
    <row r="19" customFormat="false" ht="15" hidden="false" customHeight="false" outlineLevel="0" collapsed="false">
      <c r="A19" s="0" t="n">
        <v>16</v>
      </c>
      <c r="B19" s="6" t="n">
        <v>46071</v>
      </c>
      <c r="C19" s="3" t="s">
        <v>953</v>
      </c>
      <c r="D19" s="0" t="n">
        <v>176</v>
      </c>
      <c r="E19" s="0" t="n">
        <v>1701.04</v>
      </c>
      <c r="F19" s="4" t="n">
        <f aca="false">E19*2</f>
        <v>3402.08</v>
      </c>
      <c r="G19" s="4" t="n">
        <f aca="false">F19*0.18</f>
        <v>612.3744</v>
      </c>
      <c r="H19" s="4" t="n">
        <f aca="false">F19+G19</f>
        <v>4014.4544</v>
      </c>
      <c r="I19" s="0" t="n">
        <v>2</v>
      </c>
    </row>
    <row r="20" customFormat="false" ht="15" hidden="false" customHeight="false" outlineLevel="0" collapsed="false">
      <c r="A20" s="0" t="n">
        <v>17</v>
      </c>
      <c r="B20" s="6" t="n">
        <v>46071</v>
      </c>
      <c r="C20" s="3" t="s">
        <v>954</v>
      </c>
      <c r="D20" s="0" t="n">
        <v>210</v>
      </c>
      <c r="E20" s="0" t="n">
        <v>538.16</v>
      </c>
      <c r="F20" s="4" t="n">
        <f aca="false">E20*2</f>
        <v>1076.32</v>
      </c>
      <c r="G20" s="4" t="n">
        <f aca="false">F20*0.18</f>
        <v>193.7376</v>
      </c>
      <c r="H20" s="4" t="n">
        <f aca="false">F20+G20</f>
        <v>1270.0576</v>
      </c>
      <c r="I20" s="0" t="n">
        <v>2</v>
      </c>
    </row>
    <row r="21" customFormat="false" ht="15" hidden="false" customHeight="false" outlineLevel="0" collapsed="false">
      <c r="A21" s="0" t="n">
        <v>18</v>
      </c>
      <c r="B21" s="6" t="n">
        <v>46071</v>
      </c>
      <c r="C21" s="3" t="s">
        <v>955</v>
      </c>
      <c r="D21" s="0" t="n">
        <v>213</v>
      </c>
      <c r="E21" s="0" t="n">
        <v>1301.42</v>
      </c>
      <c r="F21" s="4" t="n">
        <f aca="false">E21*2</f>
        <v>2602.84</v>
      </c>
      <c r="G21" s="4" t="n">
        <f aca="false">F21*0.18</f>
        <v>468.5112</v>
      </c>
      <c r="H21" s="4" t="n">
        <f aca="false">F21+G21</f>
        <v>3071.3512</v>
      </c>
      <c r="I21" s="0" t="n">
        <v>2</v>
      </c>
    </row>
    <row r="22" customFormat="false" ht="15" hidden="false" customHeight="false" outlineLevel="0" collapsed="false">
      <c r="A22" s="0" t="n">
        <v>19</v>
      </c>
      <c r="B22" s="6" t="n">
        <v>46071</v>
      </c>
      <c r="C22" s="3" t="s">
        <v>956</v>
      </c>
      <c r="D22" s="0" t="n">
        <v>148</v>
      </c>
      <c r="E22" s="0" t="n">
        <v>3030.87</v>
      </c>
      <c r="F22" s="4" t="n">
        <f aca="false">E22*2</f>
        <v>6061.74</v>
      </c>
      <c r="G22" s="4" t="n">
        <f aca="false">F22*0.18</f>
        <v>1091.1132</v>
      </c>
      <c r="H22" s="4" t="n">
        <f aca="false">F22+G22</f>
        <v>7152.8532</v>
      </c>
      <c r="I22" s="0" t="n">
        <v>2</v>
      </c>
    </row>
    <row r="23" customFormat="false" ht="15" hidden="false" customHeight="false" outlineLevel="0" collapsed="false">
      <c r="A23" s="0" t="n">
        <v>20</v>
      </c>
      <c r="B23" s="6" t="n">
        <v>46071</v>
      </c>
      <c r="C23" s="3" t="s">
        <v>957</v>
      </c>
      <c r="D23" s="0" t="n">
        <v>134</v>
      </c>
      <c r="E23" s="0" t="n">
        <v>331.18</v>
      </c>
      <c r="F23" s="4" t="n">
        <f aca="false">E23*2</f>
        <v>662.36</v>
      </c>
      <c r="G23" s="4" t="n">
        <f aca="false">F23*0.18</f>
        <v>119.2248</v>
      </c>
      <c r="H23" s="4" t="n">
        <f aca="false">F23+G23</f>
        <v>781.5848</v>
      </c>
      <c r="I23" s="0" t="n">
        <v>2</v>
      </c>
    </row>
    <row r="24" customFormat="false" ht="15" hidden="false" customHeight="false" outlineLevel="0" collapsed="false">
      <c r="A24" s="0" t="n">
        <v>21</v>
      </c>
      <c r="B24" s="6" t="n">
        <v>46071</v>
      </c>
      <c r="C24" s="3" t="s">
        <v>958</v>
      </c>
      <c r="D24" s="0" t="n">
        <v>9</v>
      </c>
      <c r="E24" s="0" t="n">
        <v>1395.34</v>
      </c>
      <c r="F24" s="4" t="n">
        <f aca="false">E24*2</f>
        <v>2790.68</v>
      </c>
      <c r="G24" s="4" t="n">
        <f aca="false">F24*0.18</f>
        <v>502.3224</v>
      </c>
      <c r="H24" s="4" t="n">
        <f aca="false">F24+G24</f>
        <v>3293.0024</v>
      </c>
      <c r="I24" s="0" t="n">
        <v>2</v>
      </c>
    </row>
    <row r="25" customFormat="false" ht="15" hidden="false" customHeight="false" outlineLevel="0" collapsed="false">
      <c r="A25" s="0" t="n">
        <v>22</v>
      </c>
      <c r="B25" s="6" t="n">
        <v>46072</v>
      </c>
      <c r="C25" s="3" t="s">
        <v>959</v>
      </c>
      <c r="D25" s="0" t="n">
        <v>211</v>
      </c>
      <c r="E25" s="0" t="n">
        <v>2219.8</v>
      </c>
      <c r="F25" s="4" t="n">
        <f aca="false">E25*2</f>
        <v>4439.6</v>
      </c>
      <c r="G25" s="4" t="n">
        <f aca="false">F25*0.18</f>
        <v>799.128</v>
      </c>
      <c r="H25" s="4" t="n">
        <f aca="false">F25+G25</f>
        <v>5238.728</v>
      </c>
      <c r="I25" s="0" t="n">
        <v>2</v>
      </c>
    </row>
    <row r="26" customFormat="false" ht="15" hidden="false" customHeight="false" outlineLevel="0" collapsed="false">
      <c r="A26" s="0" t="n">
        <v>23</v>
      </c>
      <c r="B26" s="6" t="n">
        <v>46072</v>
      </c>
      <c r="C26" s="3" t="s">
        <v>960</v>
      </c>
      <c r="D26" s="0" t="n">
        <v>212</v>
      </c>
      <c r="E26" s="0" t="n">
        <v>1329.57</v>
      </c>
      <c r="F26" s="4" t="n">
        <f aca="false">E26*2</f>
        <v>2659.14</v>
      </c>
      <c r="G26" s="4" t="n">
        <f aca="false">F26*0.18</f>
        <v>478.6452</v>
      </c>
      <c r="H26" s="4" t="n">
        <f aca="false">F26+G26</f>
        <v>3137.7852</v>
      </c>
      <c r="I26" s="0" t="n">
        <v>2</v>
      </c>
    </row>
    <row r="27" customFormat="false" ht="15" hidden="false" customHeight="false" outlineLevel="0" collapsed="false">
      <c r="A27" s="0" t="n">
        <v>24</v>
      </c>
      <c r="B27" s="6" t="n">
        <v>46072</v>
      </c>
      <c r="C27" s="3" t="s">
        <v>961</v>
      </c>
      <c r="D27" s="0" t="n">
        <v>88</v>
      </c>
      <c r="E27" s="0" t="n">
        <v>2531.77</v>
      </c>
      <c r="F27" s="4" t="n">
        <f aca="false">E27*2</f>
        <v>5063.54</v>
      </c>
      <c r="G27" s="4" t="n">
        <f aca="false">F27*0.18</f>
        <v>911.4372</v>
      </c>
      <c r="H27" s="4" t="n">
        <f aca="false">F27+G27</f>
        <v>5974.9772</v>
      </c>
      <c r="I27" s="0" t="n">
        <v>2</v>
      </c>
    </row>
    <row r="28" customFormat="false" ht="15" hidden="false" customHeight="false" outlineLevel="0" collapsed="false">
      <c r="A28" s="0" t="n">
        <v>25</v>
      </c>
      <c r="B28" s="6" t="n">
        <v>46072</v>
      </c>
      <c r="C28" s="3" t="s">
        <v>962</v>
      </c>
      <c r="D28" s="0" t="n">
        <v>54</v>
      </c>
      <c r="E28" s="0" t="n">
        <v>2387.88</v>
      </c>
      <c r="F28" s="4" t="n">
        <f aca="false">E28*2</f>
        <v>4775.76</v>
      </c>
      <c r="G28" s="4" t="n">
        <f aca="false">F28*0.18</f>
        <v>859.6368</v>
      </c>
      <c r="H28" s="4" t="n">
        <f aca="false">F28+G28</f>
        <v>5635.3968</v>
      </c>
      <c r="I28" s="0" t="n">
        <v>2</v>
      </c>
    </row>
    <row r="29" customFormat="false" ht="15" hidden="false" customHeight="false" outlineLevel="0" collapsed="false">
      <c r="A29" s="0" t="n">
        <v>26</v>
      </c>
      <c r="B29" s="6" t="n">
        <v>46072</v>
      </c>
      <c r="C29" s="3" t="s">
        <v>963</v>
      </c>
      <c r="D29" s="0" t="n">
        <v>99</v>
      </c>
      <c r="E29" s="0" t="n">
        <v>2335.31</v>
      </c>
      <c r="F29" s="4" t="n">
        <f aca="false">E29*2</f>
        <v>4670.62</v>
      </c>
      <c r="G29" s="4" t="n">
        <f aca="false">F29*0.18</f>
        <v>840.7116</v>
      </c>
      <c r="H29" s="4" t="n">
        <f aca="false">F29+G29</f>
        <v>5511.3316</v>
      </c>
      <c r="I29" s="0" t="n">
        <v>2</v>
      </c>
    </row>
    <row r="30" customFormat="false" ht="15" hidden="false" customHeight="false" outlineLevel="0" collapsed="false">
      <c r="A30" s="0" t="n">
        <v>27</v>
      </c>
      <c r="B30" s="6" t="n">
        <v>46072</v>
      </c>
      <c r="C30" s="3" t="s">
        <v>964</v>
      </c>
      <c r="D30" s="0" t="n">
        <v>59</v>
      </c>
      <c r="E30" s="0" t="n">
        <v>268.99</v>
      </c>
      <c r="F30" s="4" t="n">
        <f aca="false">E30*2</f>
        <v>537.98</v>
      </c>
      <c r="G30" s="4" t="n">
        <f aca="false">F30*0.18</f>
        <v>96.8364</v>
      </c>
      <c r="H30" s="4" t="n">
        <f aca="false">F30+G30</f>
        <v>634.8164</v>
      </c>
      <c r="I30" s="0" t="n">
        <v>2</v>
      </c>
    </row>
    <row r="31" customFormat="false" ht="15" hidden="false" customHeight="false" outlineLevel="0" collapsed="false">
      <c r="A31" s="0" t="n">
        <v>28</v>
      </c>
      <c r="B31" s="6" t="n">
        <v>46073</v>
      </c>
      <c r="C31" s="3" t="s">
        <v>965</v>
      </c>
      <c r="D31" s="0" t="n">
        <v>184</v>
      </c>
      <c r="E31" s="0" t="n">
        <v>1647.85</v>
      </c>
      <c r="F31" s="4" t="n">
        <f aca="false">E31*2</f>
        <v>3295.7</v>
      </c>
      <c r="G31" s="4" t="n">
        <f aca="false">F31*0.18</f>
        <v>593.226</v>
      </c>
      <c r="H31" s="4" t="n">
        <f aca="false">F31+G31</f>
        <v>3888.926</v>
      </c>
      <c r="I31" s="0" t="n">
        <v>2</v>
      </c>
    </row>
    <row r="32" customFormat="false" ht="15" hidden="false" customHeight="false" outlineLevel="0" collapsed="false">
      <c r="A32" s="0" t="n">
        <v>29</v>
      </c>
      <c r="B32" s="6" t="n">
        <v>46073</v>
      </c>
      <c r="C32" s="3" t="s">
        <v>966</v>
      </c>
      <c r="D32" s="0" t="n">
        <v>45</v>
      </c>
      <c r="E32" s="0" t="n">
        <v>3284.37</v>
      </c>
      <c r="F32" s="4" t="n">
        <f aca="false">E32*2</f>
        <v>6568.74</v>
      </c>
      <c r="G32" s="4" t="n">
        <f aca="false">F32*0.18</f>
        <v>1182.3732</v>
      </c>
      <c r="H32" s="4" t="n">
        <f aca="false">F32+G32</f>
        <v>7751.1132</v>
      </c>
      <c r="I32" s="0" t="n">
        <v>2</v>
      </c>
    </row>
    <row r="33" customFormat="false" ht="15" hidden="false" customHeight="false" outlineLevel="0" collapsed="false">
      <c r="A33" s="0" t="n">
        <v>30</v>
      </c>
      <c r="B33" s="6" t="n">
        <v>46073</v>
      </c>
      <c r="C33" s="3" t="s">
        <v>967</v>
      </c>
      <c r="D33" s="0" t="n">
        <v>163</v>
      </c>
      <c r="E33" s="0" t="n">
        <v>277.01</v>
      </c>
      <c r="F33" s="4" t="n">
        <f aca="false">E33*2</f>
        <v>554.02</v>
      </c>
      <c r="G33" s="4" t="n">
        <f aca="false">F33*0.18</f>
        <v>99.7236</v>
      </c>
      <c r="H33" s="4" t="n">
        <f aca="false">F33+G33</f>
        <v>653.7436</v>
      </c>
      <c r="I33" s="0" t="n">
        <v>2</v>
      </c>
    </row>
    <row r="34" customFormat="false" ht="15" hidden="false" customHeight="false" outlineLevel="0" collapsed="false">
      <c r="A34" s="0" t="n">
        <v>31</v>
      </c>
      <c r="B34" s="6" t="n">
        <v>46073</v>
      </c>
      <c r="C34" s="3" t="s">
        <v>968</v>
      </c>
      <c r="D34" s="0" t="n">
        <v>199</v>
      </c>
      <c r="E34" s="0" t="n">
        <v>2322.15</v>
      </c>
      <c r="F34" s="4" t="n">
        <f aca="false">E34*2</f>
        <v>4644.3</v>
      </c>
      <c r="G34" s="4" t="n">
        <f aca="false">F34*0.18</f>
        <v>835.974</v>
      </c>
      <c r="H34" s="4" t="n">
        <f aca="false">F34+G34</f>
        <v>5480.274</v>
      </c>
      <c r="I34" s="0" t="n">
        <v>2</v>
      </c>
    </row>
    <row r="35" customFormat="false" ht="15" hidden="false" customHeight="false" outlineLevel="0" collapsed="false">
      <c r="A35" s="0" t="n">
        <v>32</v>
      </c>
      <c r="B35" s="6" t="n">
        <v>46073</v>
      </c>
      <c r="C35" s="3" t="s">
        <v>969</v>
      </c>
      <c r="D35" s="0" t="n">
        <v>20</v>
      </c>
      <c r="E35" s="0" t="n">
        <v>959.12</v>
      </c>
      <c r="F35" s="4" t="n">
        <f aca="false">E35*2</f>
        <v>1918.24</v>
      </c>
      <c r="G35" s="4" t="n">
        <f aca="false">F35*0.18</f>
        <v>345.2832</v>
      </c>
      <c r="H35" s="4" t="n">
        <f aca="false">F35+G35</f>
        <v>2263.5232</v>
      </c>
      <c r="I35" s="0" t="n">
        <v>2</v>
      </c>
    </row>
    <row r="36" customFormat="false" ht="15" hidden="false" customHeight="false" outlineLevel="0" collapsed="false">
      <c r="A36" s="0" t="n">
        <v>33</v>
      </c>
      <c r="B36" s="6" t="n">
        <v>46073</v>
      </c>
      <c r="C36" s="3" t="s">
        <v>970</v>
      </c>
      <c r="D36" s="0" t="n">
        <v>107</v>
      </c>
      <c r="E36" s="0" t="n">
        <v>790.62</v>
      </c>
      <c r="F36" s="4" t="n">
        <f aca="false">E36*2</f>
        <v>1581.24</v>
      </c>
      <c r="G36" s="4" t="n">
        <f aca="false">F36*0.18</f>
        <v>284.6232</v>
      </c>
      <c r="H36" s="4" t="n">
        <f aca="false">F36+G36</f>
        <v>1865.8632</v>
      </c>
      <c r="I36" s="0" t="n">
        <v>2</v>
      </c>
    </row>
    <row r="37" customFormat="false" ht="15" hidden="false" customHeight="false" outlineLevel="0" collapsed="false">
      <c r="A37" s="0" t="n">
        <v>34</v>
      </c>
      <c r="B37" s="6" t="n">
        <v>46073</v>
      </c>
      <c r="C37" s="3" t="s">
        <v>971</v>
      </c>
      <c r="D37" s="0" t="n">
        <v>64</v>
      </c>
      <c r="E37" s="0" t="n">
        <v>997.54</v>
      </c>
      <c r="F37" s="4" t="n">
        <f aca="false">E37*2</f>
        <v>1995.08</v>
      </c>
      <c r="G37" s="4" t="n">
        <f aca="false">F37*0.18</f>
        <v>359.1144</v>
      </c>
      <c r="H37" s="4" t="n">
        <f aca="false">F37+G37</f>
        <v>2354.1944</v>
      </c>
      <c r="I37" s="0" t="n">
        <v>2</v>
      </c>
    </row>
    <row r="38" customFormat="false" ht="15" hidden="false" customHeight="false" outlineLevel="0" collapsed="false">
      <c r="A38" s="0" t="n">
        <v>35</v>
      </c>
      <c r="B38" s="6" t="n">
        <v>46073</v>
      </c>
      <c r="C38" s="3" t="s">
        <v>972</v>
      </c>
      <c r="D38" s="0" t="n">
        <v>51</v>
      </c>
      <c r="E38" s="0" t="n">
        <v>1332.45</v>
      </c>
      <c r="F38" s="4" t="n">
        <f aca="false">E38*2</f>
        <v>2664.9</v>
      </c>
      <c r="G38" s="4" t="n">
        <f aca="false">F38*0.18</f>
        <v>479.682</v>
      </c>
      <c r="H38" s="4" t="n">
        <f aca="false">F38+G38</f>
        <v>3144.582</v>
      </c>
      <c r="I38" s="0" t="n">
        <v>2</v>
      </c>
    </row>
    <row r="39" customFormat="false" ht="15" hidden="false" customHeight="false" outlineLevel="0" collapsed="false">
      <c r="A39" s="0" t="n">
        <v>36</v>
      </c>
      <c r="B39" s="6" t="n">
        <v>46073</v>
      </c>
      <c r="C39" s="3" t="s">
        <v>973</v>
      </c>
      <c r="D39" s="0" t="n">
        <v>122</v>
      </c>
      <c r="E39" s="0" t="n">
        <v>1006</v>
      </c>
      <c r="F39" s="4" t="n">
        <f aca="false">E39*2</f>
        <v>2012</v>
      </c>
      <c r="G39" s="4" t="n">
        <f aca="false">F39*0.18</f>
        <v>362.16</v>
      </c>
      <c r="H39" s="4" t="n">
        <f aca="false">F39+G39</f>
        <v>2374.16</v>
      </c>
      <c r="I39" s="0" t="n">
        <v>2</v>
      </c>
    </row>
    <row r="40" customFormat="false" ht="15" hidden="false" customHeight="false" outlineLevel="0" collapsed="false">
      <c r="A40" s="0" t="n">
        <v>37</v>
      </c>
      <c r="B40" s="6" t="n">
        <v>46073</v>
      </c>
      <c r="C40" s="3" t="s">
        <v>974</v>
      </c>
      <c r="D40" s="0" t="n">
        <v>100</v>
      </c>
      <c r="E40" s="0" t="n">
        <v>1317.14</v>
      </c>
      <c r="F40" s="4" t="n">
        <f aca="false">E40*2</f>
        <v>2634.28</v>
      </c>
      <c r="G40" s="4" t="n">
        <f aca="false">F40*0.18</f>
        <v>474.1704</v>
      </c>
      <c r="H40" s="4" t="n">
        <f aca="false">F40+G40</f>
        <v>3108.4504</v>
      </c>
      <c r="I40" s="0" t="n">
        <v>2</v>
      </c>
    </row>
    <row r="41" customFormat="false" ht="15" hidden="false" customHeight="false" outlineLevel="0" collapsed="false">
      <c r="A41" s="0" t="n">
        <v>38</v>
      </c>
      <c r="B41" s="6" t="n">
        <v>46073</v>
      </c>
      <c r="C41" s="3" t="s">
        <v>975</v>
      </c>
      <c r="D41" s="0" t="n">
        <v>119</v>
      </c>
      <c r="E41" s="0" t="n">
        <v>2420.9</v>
      </c>
      <c r="F41" s="4" t="n">
        <f aca="false">E41*2</f>
        <v>4841.8</v>
      </c>
      <c r="G41" s="4" t="n">
        <f aca="false">F41*0.18</f>
        <v>871.524</v>
      </c>
      <c r="H41" s="4" t="n">
        <f aca="false">F41+G41</f>
        <v>5713.324</v>
      </c>
      <c r="I41" s="0" t="n">
        <v>2</v>
      </c>
    </row>
    <row r="42" customFormat="false" ht="15" hidden="false" customHeight="false" outlineLevel="0" collapsed="false">
      <c r="A42" s="0" t="n">
        <v>39</v>
      </c>
      <c r="B42" s="6" t="n">
        <v>46074</v>
      </c>
      <c r="C42" s="3" t="s">
        <v>976</v>
      </c>
      <c r="D42" s="0" t="n">
        <v>180</v>
      </c>
      <c r="E42" s="0" t="n">
        <v>366.36</v>
      </c>
      <c r="F42" s="4" t="n">
        <f aca="false">E42*2</f>
        <v>732.72</v>
      </c>
      <c r="G42" s="4" t="n">
        <f aca="false">F42*0.18</f>
        <v>131.8896</v>
      </c>
      <c r="H42" s="4" t="n">
        <f aca="false">F42+G42</f>
        <v>864.6096</v>
      </c>
      <c r="I42" s="0" t="n">
        <v>2</v>
      </c>
    </row>
    <row r="43" customFormat="false" ht="15" hidden="false" customHeight="false" outlineLevel="0" collapsed="false">
      <c r="A43" s="0" t="n">
        <v>40</v>
      </c>
      <c r="B43" s="6" t="n">
        <v>46074</v>
      </c>
      <c r="C43" s="3" t="s">
        <v>977</v>
      </c>
      <c r="D43" s="0" t="n">
        <v>176</v>
      </c>
      <c r="E43" s="0" t="n">
        <v>563.95</v>
      </c>
      <c r="F43" s="4" t="n">
        <f aca="false">E43*2</f>
        <v>1127.9</v>
      </c>
      <c r="G43" s="4" t="n">
        <f aca="false">F43*0.18</f>
        <v>203.022</v>
      </c>
      <c r="H43" s="4" t="n">
        <f aca="false">F43+G43</f>
        <v>1330.922</v>
      </c>
      <c r="I43" s="0" t="n">
        <v>2</v>
      </c>
    </row>
    <row r="44" customFormat="false" ht="15" hidden="false" customHeight="false" outlineLevel="0" collapsed="false">
      <c r="A44" s="0" t="n">
        <v>41</v>
      </c>
      <c r="B44" s="6" t="n">
        <v>46074</v>
      </c>
      <c r="C44" s="3" t="s">
        <v>978</v>
      </c>
      <c r="D44" s="0" t="n">
        <v>26</v>
      </c>
      <c r="E44" s="0" t="n">
        <v>2938.15</v>
      </c>
      <c r="F44" s="4" t="n">
        <f aca="false">E44*2</f>
        <v>5876.3</v>
      </c>
      <c r="G44" s="4" t="n">
        <f aca="false">F44*0.18</f>
        <v>1057.734</v>
      </c>
      <c r="H44" s="4" t="n">
        <f aca="false">F44+G44</f>
        <v>6934.034</v>
      </c>
      <c r="I44" s="0" t="n">
        <v>2</v>
      </c>
    </row>
    <row r="45" customFormat="false" ht="15" hidden="false" customHeight="false" outlineLevel="0" collapsed="false">
      <c r="A45" s="0" t="n">
        <v>42</v>
      </c>
      <c r="B45" s="6" t="n">
        <v>46074</v>
      </c>
      <c r="C45" s="3" t="s">
        <v>979</v>
      </c>
      <c r="D45" s="0" t="n">
        <v>193</v>
      </c>
      <c r="E45" s="0" t="n">
        <v>3766.29</v>
      </c>
      <c r="F45" s="4" t="n">
        <f aca="false">E45*2</f>
        <v>7532.58</v>
      </c>
      <c r="G45" s="4" t="n">
        <f aca="false">F45*0.18</f>
        <v>1355.8644</v>
      </c>
      <c r="H45" s="4" t="n">
        <f aca="false">F45+G45</f>
        <v>8888.4444</v>
      </c>
      <c r="I45" s="0" t="n">
        <v>2</v>
      </c>
    </row>
    <row r="46" customFormat="false" ht="15" hidden="false" customHeight="false" outlineLevel="0" collapsed="false">
      <c r="A46" s="0" t="n">
        <v>43</v>
      </c>
      <c r="B46" s="6" t="n">
        <v>46075</v>
      </c>
      <c r="C46" s="3" t="s">
        <v>980</v>
      </c>
      <c r="D46" s="0" t="n">
        <v>206</v>
      </c>
      <c r="E46" s="0" t="n">
        <v>3233.15</v>
      </c>
      <c r="F46" s="4" t="n">
        <f aca="false">E46*2</f>
        <v>6466.3</v>
      </c>
      <c r="G46" s="4" t="n">
        <f aca="false">F46*0.18</f>
        <v>1163.934</v>
      </c>
      <c r="H46" s="4" t="n">
        <f aca="false">F46+G46</f>
        <v>7630.234</v>
      </c>
      <c r="I46" s="0" t="n">
        <v>2</v>
      </c>
    </row>
    <row r="47" customFormat="false" ht="15" hidden="false" customHeight="false" outlineLevel="0" collapsed="false">
      <c r="A47" s="0" t="n">
        <v>44</v>
      </c>
      <c r="B47" s="6" t="n">
        <v>46075</v>
      </c>
      <c r="C47" s="3" t="s">
        <v>981</v>
      </c>
      <c r="D47" s="0" t="n">
        <v>35</v>
      </c>
      <c r="E47" s="0" t="n">
        <v>2619.5</v>
      </c>
      <c r="F47" s="4" t="n">
        <f aca="false">E47*2</f>
        <v>5239</v>
      </c>
      <c r="G47" s="4" t="n">
        <f aca="false">F47*0.18</f>
        <v>943.02</v>
      </c>
      <c r="H47" s="4" t="n">
        <f aca="false">F47+G47</f>
        <v>6182.02</v>
      </c>
      <c r="I47" s="0" t="n">
        <v>2</v>
      </c>
    </row>
    <row r="48" customFormat="false" ht="15" hidden="false" customHeight="false" outlineLevel="0" collapsed="false">
      <c r="A48" s="0" t="n">
        <v>45</v>
      </c>
      <c r="B48" s="6" t="n">
        <v>46075</v>
      </c>
      <c r="C48" s="3" t="s">
        <v>982</v>
      </c>
      <c r="D48" s="0" t="n">
        <v>192</v>
      </c>
      <c r="E48" s="0" t="n">
        <v>2678.41</v>
      </c>
      <c r="F48" s="4" t="n">
        <f aca="false">E48*2</f>
        <v>5356.82</v>
      </c>
      <c r="G48" s="4" t="n">
        <f aca="false">F48*0.18</f>
        <v>964.2276</v>
      </c>
      <c r="H48" s="4" t="n">
        <f aca="false">F48+G48</f>
        <v>6321.0476</v>
      </c>
      <c r="I48" s="0" t="n">
        <v>2</v>
      </c>
    </row>
    <row r="49" customFormat="false" ht="15" hidden="false" customHeight="false" outlineLevel="0" collapsed="false">
      <c r="A49" s="0" t="n">
        <v>46</v>
      </c>
      <c r="B49" s="6" t="n">
        <v>46075</v>
      </c>
      <c r="C49" s="3" t="s">
        <v>983</v>
      </c>
      <c r="D49" s="0" t="n">
        <v>63</v>
      </c>
      <c r="E49" s="0" t="n">
        <v>1044.36</v>
      </c>
      <c r="F49" s="4" t="n">
        <f aca="false">E49*2</f>
        <v>2088.72</v>
      </c>
      <c r="G49" s="4" t="n">
        <f aca="false">F49*0.18</f>
        <v>375.9696</v>
      </c>
      <c r="H49" s="4" t="n">
        <f aca="false">F49+G49</f>
        <v>2464.6896</v>
      </c>
      <c r="I49" s="0" t="n">
        <v>2</v>
      </c>
    </row>
    <row r="50" customFormat="false" ht="15" hidden="false" customHeight="false" outlineLevel="0" collapsed="false">
      <c r="A50" s="0" t="n">
        <v>47</v>
      </c>
      <c r="B50" s="6" t="n">
        <v>46075</v>
      </c>
      <c r="C50" s="3" t="s">
        <v>984</v>
      </c>
      <c r="D50" s="0" t="n">
        <v>192</v>
      </c>
      <c r="E50" s="0" t="n">
        <v>545.41</v>
      </c>
      <c r="F50" s="4" t="n">
        <f aca="false">E50*2</f>
        <v>1090.82</v>
      </c>
      <c r="G50" s="4" t="n">
        <f aca="false">F50*0.18</f>
        <v>196.3476</v>
      </c>
      <c r="H50" s="4" t="n">
        <f aca="false">F50+G50</f>
        <v>1287.1676</v>
      </c>
      <c r="I50" s="0" t="n">
        <v>2</v>
      </c>
    </row>
    <row r="51" customFormat="false" ht="15" hidden="false" customHeight="false" outlineLevel="0" collapsed="false">
      <c r="A51" s="0" t="n">
        <v>48</v>
      </c>
      <c r="B51" s="6" t="n">
        <v>46076</v>
      </c>
      <c r="C51" s="3" t="s">
        <v>985</v>
      </c>
      <c r="D51" s="0" t="n">
        <v>164</v>
      </c>
      <c r="E51" s="0" t="n">
        <v>2696.28</v>
      </c>
      <c r="F51" s="4" t="n">
        <f aca="false">E51*2</f>
        <v>5392.56</v>
      </c>
      <c r="G51" s="4" t="n">
        <f aca="false">F51*0.18</f>
        <v>970.6608</v>
      </c>
      <c r="H51" s="4" t="n">
        <f aca="false">F51+G51</f>
        <v>6363.2208</v>
      </c>
      <c r="I51" s="0" t="n">
        <v>2</v>
      </c>
    </row>
    <row r="52" customFormat="false" ht="15" hidden="false" customHeight="false" outlineLevel="0" collapsed="false">
      <c r="A52" s="0" t="n">
        <v>49</v>
      </c>
      <c r="B52" s="6" t="n">
        <v>46076</v>
      </c>
      <c r="C52" s="3" t="s">
        <v>986</v>
      </c>
      <c r="D52" s="0" t="n">
        <v>140</v>
      </c>
      <c r="E52" s="0" t="n">
        <v>912.65</v>
      </c>
      <c r="F52" s="4" t="n">
        <f aca="false">E52*2</f>
        <v>1825.3</v>
      </c>
      <c r="G52" s="4" t="n">
        <f aca="false">F52*0.18</f>
        <v>328.554</v>
      </c>
      <c r="H52" s="4" t="n">
        <f aca="false">F52+G52</f>
        <v>2153.854</v>
      </c>
      <c r="I52" s="0" t="n">
        <v>2</v>
      </c>
    </row>
    <row r="53" customFormat="false" ht="15" hidden="false" customHeight="false" outlineLevel="0" collapsed="false">
      <c r="A53" s="0" t="n">
        <v>50</v>
      </c>
      <c r="B53" s="6" t="n">
        <v>46076</v>
      </c>
      <c r="C53" s="3" t="s">
        <v>987</v>
      </c>
      <c r="D53" s="0" t="n">
        <v>75</v>
      </c>
      <c r="E53" s="0" t="n">
        <v>3143.54</v>
      </c>
      <c r="F53" s="4" t="n">
        <f aca="false">E53*2</f>
        <v>6287.08</v>
      </c>
      <c r="G53" s="4" t="n">
        <f aca="false">F53*0.18</f>
        <v>1131.6744</v>
      </c>
      <c r="H53" s="4" t="n">
        <f aca="false">F53+G53</f>
        <v>7418.7544</v>
      </c>
      <c r="I53" s="0" t="n">
        <v>2</v>
      </c>
    </row>
    <row r="54" customFormat="false" ht="15" hidden="false" customHeight="false" outlineLevel="0" collapsed="false">
      <c r="A54" s="0" t="n">
        <v>51</v>
      </c>
      <c r="B54" s="6" t="n">
        <v>46076</v>
      </c>
      <c r="C54" s="3" t="s">
        <v>988</v>
      </c>
      <c r="D54" s="0" t="n">
        <v>132</v>
      </c>
      <c r="E54" s="0" t="n">
        <v>2895.61</v>
      </c>
      <c r="F54" s="4" t="n">
        <f aca="false">E54*2</f>
        <v>5791.22</v>
      </c>
      <c r="G54" s="4" t="n">
        <f aca="false">F54*0.18</f>
        <v>1042.4196</v>
      </c>
      <c r="H54" s="4" t="n">
        <f aca="false">F54+G54</f>
        <v>6833.6396</v>
      </c>
      <c r="I54" s="0" t="n">
        <v>2</v>
      </c>
    </row>
    <row r="55" customFormat="false" ht="15" hidden="false" customHeight="false" outlineLevel="0" collapsed="false">
      <c r="A55" s="0" t="n">
        <v>52</v>
      </c>
      <c r="B55" s="6" t="n">
        <v>46076</v>
      </c>
      <c r="C55" s="3" t="s">
        <v>989</v>
      </c>
      <c r="D55" s="0" t="n">
        <v>213</v>
      </c>
      <c r="E55" s="0" t="n">
        <v>997.2</v>
      </c>
      <c r="F55" s="4" t="n">
        <f aca="false">E55*2</f>
        <v>1994.4</v>
      </c>
      <c r="G55" s="4" t="n">
        <f aca="false">F55*0.18</f>
        <v>358.992</v>
      </c>
      <c r="H55" s="4" t="n">
        <f aca="false">F55+G55</f>
        <v>2353.392</v>
      </c>
      <c r="I55" s="0" t="n">
        <v>2</v>
      </c>
    </row>
    <row r="56" customFormat="false" ht="15" hidden="false" customHeight="false" outlineLevel="0" collapsed="false">
      <c r="A56" s="0" t="n">
        <v>53</v>
      </c>
      <c r="B56" s="6" t="n">
        <v>46077</v>
      </c>
      <c r="C56" s="3" t="s">
        <v>990</v>
      </c>
      <c r="D56" s="0" t="n">
        <v>78</v>
      </c>
      <c r="E56" s="0" t="n">
        <v>2479.82</v>
      </c>
      <c r="F56" s="4" t="n">
        <f aca="false">E56*2</f>
        <v>4959.64</v>
      </c>
      <c r="G56" s="4" t="n">
        <f aca="false">F56*0.18</f>
        <v>892.7352</v>
      </c>
      <c r="H56" s="4" t="n">
        <f aca="false">F56+G56</f>
        <v>5852.3752</v>
      </c>
      <c r="I56" s="0" t="n">
        <v>2</v>
      </c>
    </row>
    <row r="57" customFormat="false" ht="15" hidden="false" customHeight="false" outlineLevel="0" collapsed="false">
      <c r="A57" s="0" t="n">
        <v>54</v>
      </c>
      <c r="B57" s="6" t="n">
        <v>46077</v>
      </c>
      <c r="C57" s="3" t="s">
        <v>991</v>
      </c>
      <c r="D57" s="0" t="n">
        <v>109</v>
      </c>
      <c r="E57" s="0" t="n">
        <v>500.91</v>
      </c>
      <c r="F57" s="4" t="n">
        <f aca="false">E57*2</f>
        <v>1001.82</v>
      </c>
      <c r="G57" s="4" t="n">
        <f aca="false">F57*0.18</f>
        <v>180.3276</v>
      </c>
      <c r="H57" s="4" t="n">
        <f aca="false">F57+G57</f>
        <v>1182.1476</v>
      </c>
      <c r="I57" s="0" t="n">
        <v>2</v>
      </c>
    </row>
    <row r="58" customFormat="false" ht="15" hidden="false" customHeight="false" outlineLevel="0" collapsed="false">
      <c r="A58" s="0" t="n">
        <v>55</v>
      </c>
      <c r="B58" s="6" t="n">
        <v>46077</v>
      </c>
      <c r="C58" s="3" t="s">
        <v>992</v>
      </c>
      <c r="D58" s="0" t="n">
        <v>32</v>
      </c>
      <c r="E58" s="0" t="n">
        <v>287.54</v>
      </c>
      <c r="F58" s="4" t="n">
        <f aca="false">E58*2</f>
        <v>575.08</v>
      </c>
      <c r="G58" s="4" t="n">
        <f aca="false">F58*0.18</f>
        <v>103.5144</v>
      </c>
      <c r="H58" s="4" t="n">
        <f aca="false">F58+G58</f>
        <v>678.5944</v>
      </c>
      <c r="I58" s="0" t="n">
        <v>2</v>
      </c>
    </row>
    <row r="59" customFormat="false" ht="15" hidden="false" customHeight="false" outlineLevel="0" collapsed="false">
      <c r="A59" s="0" t="n">
        <v>56</v>
      </c>
      <c r="B59" s="6" t="n">
        <v>46077</v>
      </c>
      <c r="C59" s="3" t="s">
        <v>993</v>
      </c>
      <c r="D59" s="0" t="n">
        <v>195</v>
      </c>
      <c r="E59" s="0" t="n">
        <v>2245.84</v>
      </c>
      <c r="F59" s="4" t="n">
        <f aca="false">E59*2</f>
        <v>4491.68</v>
      </c>
      <c r="G59" s="4" t="n">
        <f aca="false">F59*0.18</f>
        <v>808.5024</v>
      </c>
      <c r="H59" s="4" t="n">
        <f aca="false">F59+G59</f>
        <v>5300.1824</v>
      </c>
      <c r="I59" s="0" t="n">
        <v>2</v>
      </c>
    </row>
    <row r="60" customFormat="false" ht="15" hidden="false" customHeight="false" outlineLevel="0" collapsed="false">
      <c r="A60" s="0" t="n">
        <v>57</v>
      </c>
      <c r="B60" s="6" t="n">
        <v>46078</v>
      </c>
      <c r="C60" s="3" t="s">
        <v>994</v>
      </c>
      <c r="D60" s="0" t="n">
        <v>130</v>
      </c>
      <c r="E60" s="0" t="n">
        <v>3721.28</v>
      </c>
      <c r="F60" s="4" t="n">
        <f aca="false">E60*2</f>
        <v>7442.56</v>
      </c>
      <c r="G60" s="4" t="n">
        <f aca="false">F60*0.18</f>
        <v>1339.6608</v>
      </c>
      <c r="H60" s="4" t="n">
        <f aca="false">F60+G60</f>
        <v>8782.2208</v>
      </c>
      <c r="I60" s="0" t="n">
        <v>2</v>
      </c>
    </row>
    <row r="61" customFormat="false" ht="15" hidden="false" customHeight="false" outlineLevel="0" collapsed="false">
      <c r="A61" s="0" t="n">
        <v>58</v>
      </c>
      <c r="B61" s="6" t="n">
        <v>46078</v>
      </c>
      <c r="C61" s="3" t="s">
        <v>995</v>
      </c>
      <c r="D61" s="0" t="n">
        <v>30</v>
      </c>
      <c r="E61" s="0" t="n">
        <v>2319.97</v>
      </c>
      <c r="F61" s="4" t="n">
        <f aca="false">E61*2</f>
        <v>4639.94</v>
      </c>
      <c r="G61" s="4" t="n">
        <f aca="false">F61*0.18</f>
        <v>835.1892</v>
      </c>
      <c r="H61" s="4" t="n">
        <f aca="false">F61+G61</f>
        <v>5475.1292</v>
      </c>
      <c r="I61" s="0" t="n">
        <v>2</v>
      </c>
    </row>
    <row r="62" customFormat="false" ht="15" hidden="false" customHeight="false" outlineLevel="0" collapsed="false">
      <c r="A62" s="0" t="n">
        <v>59</v>
      </c>
      <c r="B62" s="6" t="n">
        <v>46078</v>
      </c>
      <c r="C62" s="3" t="s">
        <v>996</v>
      </c>
      <c r="D62" s="0" t="n">
        <v>87</v>
      </c>
      <c r="E62" s="0" t="n">
        <v>79.17</v>
      </c>
      <c r="F62" s="4" t="n">
        <f aca="false">E62*2</f>
        <v>158.34</v>
      </c>
      <c r="G62" s="4" t="n">
        <f aca="false">F62*0.18</f>
        <v>28.5012</v>
      </c>
      <c r="H62" s="4" t="n">
        <f aca="false">F62+G62</f>
        <v>186.8412</v>
      </c>
      <c r="I62" s="0" t="n">
        <v>2</v>
      </c>
    </row>
    <row r="63" customFormat="false" ht="15" hidden="false" customHeight="false" outlineLevel="0" collapsed="false">
      <c r="A63" s="0" t="n">
        <v>60</v>
      </c>
      <c r="B63" s="6" t="n">
        <v>46078</v>
      </c>
      <c r="C63" s="3" t="s">
        <v>997</v>
      </c>
      <c r="D63" s="0" t="n">
        <v>38</v>
      </c>
      <c r="E63" s="0" t="n">
        <v>1907.66</v>
      </c>
      <c r="F63" s="4" t="n">
        <f aca="false">E63*2</f>
        <v>3815.32</v>
      </c>
      <c r="G63" s="4" t="n">
        <f aca="false">F63*0.18</f>
        <v>686.7576</v>
      </c>
      <c r="H63" s="4" t="n">
        <f aca="false">F63+G63</f>
        <v>4502.0776</v>
      </c>
      <c r="I63" s="0" t="n">
        <v>2</v>
      </c>
    </row>
    <row r="64" customFormat="false" ht="15" hidden="false" customHeight="false" outlineLevel="0" collapsed="false">
      <c r="A64" s="0" t="n">
        <v>61</v>
      </c>
      <c r="B64" s="6" t="n">
        <v>46078</v>
      </c>
      <c r="C64" s="3" t="s">
        <v>998</v>
      </c>
      <c r="D64" s="0" t="n">
        <v>43</v>
      </c>
      <c r="E64" s="0" t="n">
        <v>1488.15</v>
      </c>
      <c r="F64" s="4" t="n">
        <f aca="false">E64*2</f>
        <v>2976.3</v>
      </c>
      <c r="G64" s="4" t="n">
        <f aca="false">F64*0.18</f>
        <v>535.734</v>
      </c>
      <c r="H64" s="4" t="n">
        <f aca="false">F64+G64</f>
        <v>3512.034</v>
      </c>
      <c r="I64" s="0" t="n">
        <v>2</v>
      </c>
    </row>
    <row r="65" customFormat="false" ht="15" hidden="false" customHeight="false" outlineLevel="0" collapsed="false">
      <c r="A65" s="0" t="n">
        <v>62</v>
      </c>
      <c r="B65" s="6" t="n">
        <v>46079</v>
      </c>
      <c r="C65" s="3" t="s">
        <v>999</v>
      </c>
      <c r="D65" s="0" t="n">
        <v>73</v>
      </c>
      <c r="E65" s="0" t="n">
        <v>2837.52</v>
      </c>
      <c r="F65" s="4" t="n">
        <f aca="false">E65*2</f>
        <v>5675.04</v>
      </c>
      <c r="G65" s="4" t="n">
        <f aca="false">F65*0.18</f>
        <v>1021.5072</v>
      </c>
      <c r="H65" s="4" t="n">
        <f aca="false">F65+G65</f>
        <v>6696.5472</v>
      </c>
      <c r="I65" s="0" t="n">
        <v>2</v>
      </c>
    </row>
    <row r="66" customFormat="false" ht="15" hidden="false" customHeight="false" outlineLevel="0" collapsed="false">
      <c r="A66" s="0" t="n">
        <v>63</v>
      </c>
      <c r="B66" s="6" t="n">
        <v>46079</v>
      </c>
      <c r="C66" s="3" t="s">
        <v>1000</v>
      </c>
      <c r="D66" s="0" t="n">
        <v>211</v>
      </c>
      <c r="E66" s="0" t="n">
        <v>364.87</v>
      </c>
      <c r="F66" s="4" t="n">
        <f aca="false">E66*2</f>
        <v>729.74</v>
      </c>
      <c r="G66" s="4" t="n">
        <f aca="false">F66*0.18</f>
        <v>131.3532</v>
      </c>
      <c r="H66" s="4" t="n">
        <f aca="false">F66+G66</f>
        <v>861.0932</v>
      </c>
      <c r="I66" s="0" t="n">
        <v>2</v>
      </c>
    </row>
    <row r="67" customFormat="false" ht="15" hidden="false" customHeight="false" outlineLevel="0" collapsed="false">
      <c r="A67" s="0" t="n">
        <v>64</v>
      </c>
      <c r="B67" s="6" t="n">
        <v>46079</v>
      </c>
      <c r="C67" s="3" t="s">
        <v>1001</v>
      </c>
      <c r="D67" s="0" t="n">
        <v>119</v>
      </c>
      <c r="E67" s="0" t="n">
        <v>3189.88</v>
      </c>
      <c r="F67" s="4" t="n">
        <f aca="false">E67*2</f>
        <v>6379.76</v>
      </c>
      <c r="G67" s="4" t="n">
        <f aca="false">F67*0.18</f>
        <v>1148.3568</v>
      </c>
      <c r="H67" s="4" t="n">
        <f aca="false">F67+G67</f>
        <v>7528.1168</v>
      </c>
      <c r="I67" s="0" t="n">
        <v>2</v>
      </c>
    </row>
    <row r="68" customFormat="false" ht="15" hidden="false" customHeight="false" outlineLevel="0" collapsed="false">
      <c r="A68" s="0" t="n">
        <v>65</v>
      </c>
      <c r="B68" s="6" t="n">
        <v>46079</v>
      </c>
      <c r="C68" s="3" t="s">
        <v>1002</v>
      </c>
      <c r="D68" s="0" t="n">
        <v>220</v>
      </c>
      <c r="E68" s="0" t="n">
        <v>1165.12</v>
      </c>
      <c r="F68" s="4" t="n">
        <f aca="false">E68*2</f>
        <v>2330.24</v>
      </c>
      <c r="G68" s="4" t="n">
        <f aca="false">F68*0.18</f>
        <v>419.4432</v>
      </c>
      <c r="H68" s="4" t="n">
        <f aca="false">F68+G68</f>
        <v>2749.6832</v>
      </c>
      <c r="I68" s="0" t="n">
        <v>2</v>
      </c>
    </row>
    <row r="69" customFormat="false" ht="15" hidden="false" customHeight="false" outlineLevel="0" collapsed="false">
      <c r="A69" s="0" t="n">
        <v>66</v>
      </c>
      <c r="B69" s="6" t="n">
        <v>46080</v>
      </c>
      <c r="C69" s="3" t="s">
        <v>1003</v>
      </c>
      <c r="D69" s="0" t="n">
        <v>149</v>
      </c>
      <c r="E69" s="0" t="n">
        <v>3306.09</v>
      </c>
      <c r="F69" s="4" t="n">
        <f aca="false">E69*2</f>
        <v>6612.18</v>
      </c>
      <c r="G69" s="4" t="n">
        <f aca="false">F69*0.18</f>
        <v>1190.1924</v>
      </c>
      <c r="H69" s="4" t="n">
        <f aca="false">F69+G69</f>
        <v>7802.3724</v>
      </c>
      <c r="I69" s="0" t="n">
        <v>2</v>
      </c>
    </row>
    <row r="70" customFormat="false" ht="15" hidden="false" customHeight="false" outlineLevel="0" collapsed="false">
      <c r="A70" s="0" t="n">
        <v>67</v>
      </c>
      <c r="B70" s="6" t="n">
        <v>46080</v>
      </c>
      <c r="C70" s="3" t="s">
        <v>1004</v>
      </c>
      <c r="D70" s="0" t="n">
        <v>183</v>
      </c>
      <c r="E70" s="0" t="n">
        <v>1839.98</v>
      </c>
      <c r="F70" s="4" t="n">
        <f aca="false">E70*2</f>
        <v>3679.96</v>
      </c>
      <c r="G70" s="4" t="n">
        <f aca="false">F70*0.18</f>
        <v>662.3928</v>
      </c>
      <c r="H70" s="4" t="n">
        <f aca="false">F70+G70</f>
        <v>4342.3528</v>
      </c>
      <c r="I70" s="0" t="n">
        <v>2</v>
      </c>
    </row>
    <row r="71" customFormat="false" ht="15" hidden="false" customHeight="false" outlineLevel="0" collapsed="false">
      <c r="A71" s="0" t="n">
        <v>68</v>
      </c>
      <c r="B71" s="6" t="n">
        <v>46080</v>
      </c>
      <c r="C71" s="3" t="s">
        <v>1005</v>
      </c>
      <c r="D71" s="0" t="n">
        <v>217</v>
      </c>
      <c r="E71" s="0" t="n">
        <v>1140.06</v>
      </c>
      <c r="F71" s="4" t="n">
        <f aca="false">E71*2</f>
        <v>2280.12</v>
      </c>
      <c r="G71" s="4" t="n">
        <f aca="false">F71*0.18</f>
        <v>410.4216</v>
      </c>
      <c r="H71" s="4" t="n">
        <f aca="false">F71+G71</f>
        <v>2690.5416</v>
      </c>
      <c r="I71" s="0" t="n">
        <v>2</v>
      </c>
    </row>
    <row r="72" customFormat="false" ht="15" hidden="false" customHeight="false" outlineLevel="0" collapsed="false">
      <c r="A72" s="0" t="n">
        <v>69</v>
      </c>
      <c r="B72" s="6" t="n">
        <v>46080</v>
      </c>
      <c r="C72" s="3" t="s">
        <v>1006</v>
      </c>
      <c r="D72" s="0" t="n">
        <v>182</v>
      </c>
      <c r="E72" s="0" t="n">
        <v>3497.41</v>
      </c>
      <c r="F72" s="4" t="n">
        <f aca="false">E72*2</f>
        <v>6994.82</v>
      </c>
      <c r="G72" s="4" t="n">
        <f aca="false">F72*0.18</f>
        <v>1259.0676</v>
      </c>
      <c r="H72" s="4" t="n">
        <f aca="false">F72+G72</f>
        <v>8253.8876</v>
      </c>
      <c r="I72" s="0" t="n">
        <v>2</v>
      </c>
    </row>
    <row r="73" customFormat="false" ht="15" hidden="false" customHeight="false" outlineLevel="0" collapsed="false">
      <c r="A73" s="0" t="n">
        <v>70</v>
      </c>
      <c r="B73" s="6" t="n">
        <v>46081</v>
      </c>
      <c r="C73" s="3" t="s">
        <v>1007</v>
      </c>
      <c r="D73" s="0" t="n">
        <v>28</v>
      </c>
      <c r="E73" s="0" t="n">
        <v>530.46</v>
      </c>
      <c r="F73" s="4" t="n">
        <f aca="false">E73*2</f>
        <v>1060.92</v>
      </c>
      <c r="G73" s="4" t="n">
        <f aca="false">F73*0.18</f>
        <v>190.9656</v>
      </c>
      <c r="H73" s="4" t="n">
        <f aca="false">F73+G73</f>
        <v>1251.8856</v>
      </c>
      <c r="I73" s="0" t="n">
        <v>2</v>
      </c>
    </row>
    <row r="74" customFormat="false" ht="15" hidden="false" customHeight="false" outlineLevel="0" collapsed="false">
      <c r="A74" s="0" t="n">
        <v>71</v>
      </c>
      <c r="B74" s="6" t="n">
        <v>46081</v>
      </c>
      <c r="C74" s="3" t="s">
        <v>1008</v>
      </c>
      <c r="D74" s="0" t="n">
        <v>17</v>
      </c>
      <c r="E74" s="0" t="n">
        <v>1859.97</v>
      </c>
      <c r="F74" s="4" t="n">
        <f aca="false">E74*2</f>
        <v>3719.94</v>
      </c>
      <c r="G74" s="4" t="n">
        <f aca="false">F74*0.18</f>
        <v>669.5892</v>
      </c>
      <c r="H74" s="4" t="n">
        <f aca="false">F74+G74</f>
        <v>4389.5292</v>
      </c>
      <c r="I74" s="0" t="n">
        <v>2</v>
      </c>
    </row>
    <row r="75" customFormat="false" ht="15" hidden="false" customHeight="false" outlineLevel="0" collapsed="false">
      <c r="A75" s="0" t="n">
        <v>72</v>
      </c>
      <c r="B75" s="6" t="n">
        <v>46081</v>
      </c>
      <c r="C75" s="3" t="s">
        <v>1009</v>
      </c>
      <c r="D75" s="0" t="n">
        <v>3</v>
      </c>
      <c r="E75" s="0" t="n">
        <v>2302.42</v>
      </c>
      <c r="F75" s="4" t="n">
        <f aca="false">E75*2</f>
        <v>4604.84</v>
      </c>
      <c r="G75" s="4" t="n">
        <f aca="false">F75*0.18</f>
        <v>828.8712</v>
      </c>
      <c r="H75" s="4" t="n">
        <f aca="false">F75+G75</f>
        <v>5433.7112</v>
      </c>
      <c r="I75" s="0" t="n">
        <v>2</v>
      </c>
    </row>
    <row r="76" customFormat="false" ht="15" hidden="false" customHeight="false" outlineLevel="0" collapsed="false">
      <c r="E76" s="7" t="s">
        <v>477</v>
      </c>
      <c r="H76" s="7" t="n">
        <f aca="false">SUM(H4:H75)</f>
        <v>305414.4676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7" min="5" style="0" width="6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5" t="s">
        <v>562</v>
      </c>
    </row>
    <row r="3" customFormat="false" ht="23.85" hidden="false" customHeight="false" outlineLevel="0" collapsed="false">
      <c r="A3" s="1" t="s">
        <v>483</v>
      </c>
      <c r="B3" s="1" t="s">
        <v>563</v>
      </c>
      <c r="C3" s="1" t="s">
        <v>564</v>
      </c>
      <c r="D3" s="1" t="s">
        <v>565</v>
      </c>
      <c r="E3" s="1" t="s">
        <v>4</v>
      </c>
      <c r="F3" s="1" t="s">
        <v>566</v>
      </c>
      <c r="G3" s="1" t="s">
        <v>6</v>
      </c>
      <c r="H3" s="1" t="s">
        <v>567</v>
      </c>
      <c r="I3" s="1" t="s">
        <v>568</v>
      </c>
      <c r="J3" s="1" t="s">
        <v>21</v>
      </c>
      <c r="K3" s="1" t="s">
        <v>489</v>
      </c>
      <c r="L3" s="1" t="s">
        <v>569</v>
      </c>
    </row>
    <row r="4" customFormat="false" ht="15" hidden="false" customHeight="false" outlineLevel="0" collapsed="false">
      <c r="A4" s="0" t="n">
        <v>1</v>
      </c>
      <c r="B4" s="0" t="s">
        <v>580</v>
      </c>
      <c r="C4" s="0" t="s">
        <v>29</v>
      </c>
      <c r="D4" s="6" t="n">
        <v>46069</v>
      </c>
      <c r="E4" s="3" t="s">
        <v>32</v>
      </c>
      <c r="F4" s="3" t="s">
        <v>33</v>
      </c>
      <c r="G4" s="0" t="n">
        <v>198</v>
      </c>
      <c r="H4" s="0" t="n">
        <v>722.1</v>
      </c>
      <c r="I4" s="0" t="n">
        <v>938.88</v>
      </c>
      <c r="J4" s="3" t="s">
        <v>129</v>
      </c>
      <c r="K4" s="0" t="n">
        <v>3</v>
      </c>
      <c r="L4" s="4" t="n">
        <f aca="false">I4*K4*1.18</f>
        <v>3323.6352</v>
      </c>
    </row>
    <row r="5" customFormat="false" ht="15" hidden="false" customHeight="false" outlineLevel="0" collapsed="false">
      <c r="A5" s="0" t="n">
        <v>2</v>
      </c>
      <c r="B5" s="0" t="s">
        <v>586</v>
      </c>
      <c r="C5" s="0" t="s">
        <v>29</v>
      </c>
      <c r="D5" s="6" t="n">
        <v>46069</v>
      </c>
      <c r="E5" s="3" t="s">
        <v>32</v>
      </c>
      <c r="F5" s="3" t="s">
        <v>33</v>
      </c>
      <c r="G5" s="0" t="n">
        <v>6</v>
      </c>
      <c r="H5" s="0" t="n">
        <v>2047.45</v>
      </c>
      <c r="I5" s="0" t="n">
        <v>2047.63</v>
      </c>
      <c r="J5" s="3" t="s">
        <v>248</v>
      </c>
      <c r="K5" s="0" t="n">
        <v>3</v>
      </c>
      <c r="L5" s="4" t="n">
        <f aca="false">I5*K5*1.18</f>
        <v>7248.6102</v>
      </c>
    </row>
    <row r="6" customFormat="false" ht="15" hidden="false" customHeight="false" outlineLevel="0" collapsed="false">
      <c r="A6" s="0" t="n">
        <v>3</v>
      </c>
      <c r="B6" s="0" t="s">
        <v>591</v>
      </c>
      <c r="C6" s="0" t="s">
        <v>29</v>
      </c>
      <c r="D6" s="6" t="n">
        <v>46069</v>
      </c>
      <c r="E6" s="3" t="s">
        <v>32</v>
      </c>
      <c r="F6" s="3" t="s">
        <v>33</v>
      </c>
      <c r="G6" s="0" t="n">
        <v>162</v>
      </c>
      <c r="H6" s="0" t="n">
        <v>970.75</v>
      </c>
      <c r="I6" s="0" t="n">
        <v>970.93</v>
      </c>
      <c r="J6" s="3" t="s">
        <v>40</v>
      </c>
      <c r="K6" s="0" t="n">
        <v>3</v>
      </c>
      <c r="L6" s="4" t="n">
        <f aca="false">I6*K6*1.18</f>
        <v>3437.0922</v>
      </c>
    </row>
    <row r="7" customFormat="false" ht="15" hidden="false" customHeight="false" outlineLevel="0" collapsed="false">
      <c r="A7" s="0" t="n">
        <v>4</v>
      </c>
      <c r="B7" s="0" t="s">
        <v>596</v>
      </c>
      <c r="C7" s="0" t="s">
        <v>29</v>
      </c>
      <c r="D7" s="6" t="n">
        <v>46069</v>
      </c>
      <c r="E7" s="3" t="s">
        <v>32</v>
      </c>
      <c r="F7" s="3" t="s">
        <v>33</v>
      </c>
      <c r="G7" s="0" t="n">
        <v>32</v>
      </c>
      <c r="H7" s="0" t="n">
        <v>2160.33</v>
      </c>
      <c r="I7" s="0" t="n">
        <v>2160.66</v>
      </c>
      <c r="J7" s="3" t="s">
        <v>40</v>
      </c>
      <c r="K7" s="0" t="n">
        <v>3</v>
      </c>
      <c r="L7" s="4" t="n">
        <f aca="false">I7*K7*1.18</f>
        <v>7648.7364</v>
      </c>
    </row>
    <row r="8" customFormat="false" ht="15" hidden="false" customHeight="false" outlineLevel="0" collapsed="false">
      <c r="A8" s="0" t="n">
        <v>5</v>
      </c>
      <c r="B8" s="0" t="s">
        <v>602</v>
      </c>
      <c r="C8" s="0" t="s">
        <v>29</v>
      </c>
      <c r="D8" s="6" t="n">
        <v>46069</v>
      </c>
      <c r="E8" s="3" t="s">
        <v>32</v>
      </c>
      <c r="F8" s="3" t="s">
        <v>33</v>
      </c>
      <c r="G8" s="0" t="n">
        <v>158</v>
      </c>
      <c r="H8" s="0" t="n">
        <v>2633.1</v>
      </c>
      <c r="I8" s="0" t="n">
        <v>2633.5</v>
      </c>
      <c r="J8" s="3" t="s">
        <v>82</v>
      </c>
      <c r="K8" s="0" t="n">
        <v>3</v>
      </c>
      <c r="L8" s="4" t="n">
        <f aca="false">I8*K8*1.18</f>
        <v>9322.59</v>
      </c>
    </row>
    <row r="9" customFormat="false" ht="15" hidden="false" customHeight="false" outlineLevel="0" collapsed="false">
      <c r="A9" s="0" t="n">
        <v>6</v>
      </c>
      <c r="B9" s="0" t="s">
        <v>607</v>
      </c>
      <c r="C9" s="0" t="s">
        <v>62</v>
      </c>
      <c r="D9" s="6" t="n">
        <v>46069</v>
      </c>
      <c r="E9" s="3" t="s">
        <v>32</v>
      </c>
      <c r="F9" s="3" t="s">
        <v>33</v>
      </c>
      <c r="G9" s="0" t="n">
        <v>172</v>
      </c>
      <c r="H9" s="0" t="n">
        <v>2682.5</v>
      </c>
      <c r="I9" s="0" t="n">
        <v>2682.7</v>
      </c>
      <c r="J9" s="3" t="s">
        <v>40</v>
      </c>
      <c r="K9" s="0" t="n">
        <v>3</v>
      </c>
      <c r="L9" s="4" t="n">
        <f aca="false">I9*K9*1.18</f>
        <v>9496.758</v>
      </c>
    </row>
    <row r="10" customFormat="false" ht="15" hidden="false" customHeight="false" outlineLevel="0" collapsed="false">
      <c r="A10" s="0" t="n">
        <v>7</v>
      </c>
      <c r="B10" s="0" t="s">
        <v>613</v>
      </c>
      <c r="C10" s="0" t="s">
        <v>29</v>
      </c>
      <c r="D10" s="6" t="n">
        <v>46070</v>
      </c>
      <c r="E10" s="3" t="s">
        <v>32</v>
      </c>
      <c r="F10" s="3" t="s">
        <v>33</v>
      </c>
      <c r="G10" s="0" t="n">
        <v>37</v>
      </c>
      <c r="H10" s="0" t="n">
        <v>2463.02</v>
      </c>
      <c r="I10" s="0" t="n">
        <v>2463.05</v>
      </c>
      <c r="J10" s="3" t="s">
        <v>40</v>
      </c>
      <c r="K10" s="0" t="n">
        <v>3</v>
      </c>
      <c r="L10" s="4" t="n">
        <f aca="false">I10*K10*1.18</f>
        <v>8719.197</v>
      </c>
    </row>
    <row r="11" customFormat="false" ht="15" hidden="false" customHeight="false" outlineLevel="0" collapsed="false">
      <c r="A11" s="0" t="n">
        <v>8</v>
      </c>
      <c r="B11" s="0" t="s">
        <v>618</v>
      </c>
      <c r="C11" s="0" t="s">
        <v>29</v>
      </c>
      <c r="D11" s="6" t="n">
        <v>46070</v>
      </c>
      <c r="E11" s="3" t="s">
        <v>32</v>
      </c>
      <c r="F11" s="3" t="s">
        <v>33</v>
      </c>
      <c r="G11" s="0" t="n">
        <v>133</v>
      </c>
      <c r="H11" s="0" t="n">
        <v>1871.93</v>
      </c>
      <c r="I11" s="0" t="n">
        <v>2433.76</v>
      </c>
      <c r="J11" s="3" t="s">
        <v>129</v>
      </c>
      <c r="K11" s="0" t="n">
        <v>3</v>
      </c>
      <c r="L11" s="4" t="n">
        <f aca="false">I11*K11*1.18</f>
        <v>8615.5104</v>
      </c>
    </row>
    <row r="12" customFormat="false" ht="15" hidden="false" customHeight="false" outlineLevel="0" collapsed="false">
      <c r="A12" s="0" t="n">
        <v>9</v>
      </c>
      <c r="B12" s="0" t="s">
        <v>623</v>
      </c>
      <c r="C12" s="0" t="s">
        <v>29</v>
      </c>
      <c r="D12" s="6" t="n">
        <v>46070</v>
      </c>
      <c r="E12" s="3" t="s">
        <v>32</v>
      </c>
      <c r="F12" s="3" t="s">
        <v>33</v>
      </c>
      <c r="G12" s="0" t="n">
        <v>201</v>
      </c>
      <c r="H12" s="0" t="n">
        <v>1232.54</v>
      </c>
      <c r="I12" s="0" t="n">
        <v>1232.75</v>
      </c>
      <c r="J12" s="3" t="s">
        <v>40</v>
      </c>
      <c r="K12" s="0" t="n">
        <v>3</v>
      </c>
      <c r="L12" s="4" t="n">
        <f aca="false">I12*K12*1.18</f>
        <v>4363.935</v>
      </c>
    </row>
    <row r="13" customFormat="false" ht="15" hidden="false" customHeight="false" outlineLevel="0" collapsed="false">
      <c r="A13" s="0" t="n">
        <v>10</v>
      </c>
      <c r="B13" s="0" t="s">
        <v>627</v>
      </c>
      <c r="C13" s="0" t="s">
        <v>29</v>
      </c>
      <c r="D13" s="6" t="n">
        <v>46070</v>
      </c>
      <c r="E13" s="3" t="s">
        <v>32</v>
      </c>
      <c r="F13" s="3" t="s">
        <v>33</v>
      </c>
      <c r="G13" s="0" t="n">
        <v>146</v>
      </c>
      <c r="H13" s="0" t="n">
        <v>2913.51</v>
      </c>
      <c r="I13" s="0" t="n">
        <v>2913.88</v>
      </c>
      <c r="J13" s="3" t="s">
        <v>82</v>
      </c>
      <c r="K13" s="0" t="n">
        <v>3</v>
      </c>
      <c r="L13" s="4" t="n">
        <f aca="false">I13*K13*1.18</f>
        <v>10315.1352</v>
      </c>
    </row>
    <row r="14" customFormat="false" ht="15" hidden="false" customHeight="false" outlineLevel="0" collapsed="false">
      <c r="A14" s="0" t="n">
        <v>11</v>
      </c>
      <c r="B14" s="0" t="s">
        <v>632</v>
      </c>
      <c r="C14" s="0" t="s">
        <v>29</v>
      </c>
      <c r="D14" s="6" t="n">
        <v>46070</v>
      </c>
      <c r="E14" s="3" t="s">
        <v>32</v>
      </c>
      <c r="F14" s="3" t="s">
        <v>33</v>
      </c>
      <c r="G14" s="0" t="n">
        <v>138</v>
      </c>
      <c r="H14" s="0" t="n">
        <v>2787.68</v>
      </c>
      <c r="I14" s="0" t="n">
        <v>3624.11</v>
      </c>
      <c r="J14" s="3" t="s">
        <v>40</v>
      </c>
      <c r="K14" s="0" t="n">
        <v>3</v>
      </c>
      <c r="L14" s="4" t="n">
        <f aca="false">I14*K14*1.18</f>
        <v>12829.3494</v>
      </c>
    </row>
    <row r="15" customFormat="false" ht="15" hidden="false" customHeight="false" outlineLevel="0" collapsed="false">
      <c r="A15" s="0" t="n">
        <v>12</v>
      </c>
      <c r="B15" s="0" t="s">
        <v>635</v>
      </c>
      <c r="C15" s="0" t="s">
        <v>62</v>
      </c>
      <c r="D15" s="6" t="n">
        <v>46070</v>
      </c>
      <c r="E15" s="3" t="s">
        <v>32</v>
      </c>
      <c r="F15" s="3" t="s">
        <v>33</v>
      </c>
      <c r="G15" s="0" t="n">
        <v>22</v>
      </c>
      <c r="H15" s="0" t="n">
        <v>124.42</v>
      </c>
      <c r="I15" s="0" t="n">
        <v>187.04</v>
      </c>
      <c r="J15" s="3" t="s">
        <v>90</v>
      </c>
      <c r="K15" s="0" t="n">
        <v>3</v>
      </c>
      <c r="L15" s="4" t="n">
        <f aca="false">I15*K15*1.18</f>
        <v>662.1216</v>
      </c>
    </row>
    <row r="16" customFormat="false" ht="15" hidden="false" customHeight="false" outlineLevel="0" collapsed="false">
      <c r="A16" s="0" t="n">
        <v>13</v>
      </c>
      <c r="B16" s="0" t="s">
        <v>641</v>
      </c>
      <c r="C16" s="0" t="s">
        <v>62</v>
      </c>
      <c r="D16" s="6" t="n">
        <v>46070</v>
      </c>
      <c r="E16" s="3" t="s">
        <v>32</v>
      </c>
      <c r="F16" s="3" t="s">
        <v>33</v>
      </c>
      <c r="G16" s="0" t="n">
        <v>214</v>
      </c>
      <c r="H16" s="0" t="n">
        <v>1219.03</v>
      </c>
      <c r="I16" s="0" t="n">
        <v>1219.29</v>
      </c>
      <c r="J16" s="3" t="s">
        <v>90</v>
      </c>
      <c r="K16" s="0" t="n">
        <v>3</v>
      </c>
      <c r="L16" s="4" t="n">
        <f aca="false">I16*K16*1.18</f>
        <v>4316.2866</v>
      </c>
    </row>
    <row r="17" customFormat="false" ht="15" hidden="false" customHeight="false" outlineLevel="0" collapsed="false">
      <c r="A17" s="0" t="n">
        <v>14</v>
      </c>
      <c r="B17" s="0" t="s">
        <v>648</v>
      </c>
      <c r="C17" s="0" t="s">
        <v>62</v>
      </c>
      <c r="D17" s="6" t="n">
        <v>46070</v>
      </c>
      <c r="E17" s="3" t="s">
        <v>32</v>
      </c>
      <c r="F17" s="3" t="s">
        <v>33</v>
      </c>
      <c r="G17" s="0" t="n">
        <v>176</v>
      </c>
      <c r="H17" s="0" t="n">
        <v>100.71</v>
      </c>
      <c r="I17" s="0" t="n">
        <v>100.76</v>
      </c>
      <c r="J17" s="3" t="s">
        <v>129</v>
      </c>
      <c r="K17" s="0" t="n">
        <v>3</v>
      </c>
      <c r="L17" s="4" t="n">
        <f aca="false">I17*K17*1.18</f>
        <v>356.6904</v>
      </c>
    </row>
    <row r="18" customFormat="false" ht="15" hidden="false" customHeight="false" outlineLevel="0" collapsed="false">
      <c r="I18" s="7" t="s">
        <v>570</v>
      </c>
      <c r="L18" s="7" t="n">
        <f aca="false">SUM(L4:L17)</f>
        <v>90655.6476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6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9" min="8" style="0" width="16"/>
  </cols>
  <sheetData>
    <row r="1" customFormat="false" ht="15" hidden="false" customHeight="false" outlineLevel="0" collapsed="false">
      <c r="D1" s="5" t="s">
        <v>1010</v>
      </c>
    </row>
    <row r="2" customFormat="false" ht="23.85" hidden="false" customHeight="false" outlineLevel="0" collapsed="false">
      <c r="D2" s="1" t="s">
        <v>466</v>
      </c>
      <c r="E2" s="1" t="s">
        <v>469</v>
      </c>
      <c r="F2" s="1" t="s">
        <v>470</v>
      </c>
      <c r="G2" s="1" t="s">
        <v>1011</v>
      </c>
      <c r="H2" s="1" t="s">
        <v>1012</v>
      </c>
      <c r="I2" s="1" t="s">
        <v>473</v>
      </c>
    </row>
    <row r="3" customFormat="false" ht="15" hidden="false" customHeight="false" outlineLevel="0" collapsed="false">
      <c r="D3" s="0" t="n">
        <v>1</v>
      </c>
      <c r="E3" s="0" t="s">
        <v>1013</v>
      </c>
      <c r="F3" s="0" t="n">
        <v>898</v>
      </c>
      <c r="G3" s="0" t="n">
        <v>10089.4</v>
      </c>
      <c r="H3" s="0" t="n">
        <v>12073.8</v>
      </c>
      <c r="I3" s="4" t="n">
        <f aca="false">H3*2.1*1.18</f>
        <v>29918.8764</v>
      </c>
    </row>
    <row r="4" customFormat="false" ht="15" hidden="false" customHeight="false" outlineLevel="0" collapsed="false">
      <c r="D4" s="0" t="n">
        <v>2</v>
      </c>
      <c r="E4" s="0" t="s">
        <v>1014</v>
      </c>
      <c r="F4" s="0" t="n">
        <v>898</v>
      </c>
      <c r="G4" s="0" t="n">
        <v>10089.4</v>
      </c>
      <c r="H4" s="0" t="n">
        <v>12073.8</v>
      </c>
      <c r="I4" s="4" t="n">
        <f aca="false">H4*2.1*1.18</f>
        <v>29918.8764</v>
      </c>
    </row>
    <row r="5" customFormat="false" ht="15" hidden="false" customHeight="false" outlineLevel="0" collapsed="false">
      <c r="D5" s="0" t="n">
        <v>3</v>
      </c>
      <c r="E5" s="0" t="s">
        <v>1015</v>
      </c>
      <c r="F5" s="0" t="n">
        <v>898</v>
      </c>
      <c r="G5" s="0" t="n">
        <v>10089.4</v>
      </c>
      <c r="H5" s="0" t="n">
        <v>12073.8</v>
      </c>
      <c r="I5" s="4" t="n">
        <f aca="false">H5*2.1*1.18</f>
        <v>29918.8764</v>
      </c>
    </row>
    <row r="6" customFormat="false" ht="15" hidden="false" customHeight="false" outlineLevel="0" collapsed="false">
      <c r="E6" s="7" t="s">
        <v>477</v>
      </c>
      <c r="I6" s="7" t="n">
        <f aca="false">SUM(I3:I5)</f>
        <v>89756.6292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2026-07-01T11:05:44Z</dcterms:created>
  <dc:creator>openpyxl</dc:creator>
  <dc:description/>
  <dc:language>en-US</dc:language>
  <cp:lastModifiedBy/>
  <dcterms:modified xsi:type="dcterms:W3CDTF">2026-07-01T11:05:44Z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