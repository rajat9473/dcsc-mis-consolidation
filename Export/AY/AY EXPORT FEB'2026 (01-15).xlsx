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URE" sheetId="1" state="visible" r:id="rId3"/>
    <sheet name="Exports_Summary" sheetId="2" state="visible" r:id="rId4"/>
    <sheet name="SC" sheetId="3" state="visible" r:id="rId5"/>
    <sheet name="GEN" sheetId="4" state="visible" r:id="rId6"/>
    <sheet name="X-RAY" sheetId="5" state="visible" r:id="rId7"/>
    <sheet name="DEMURRAGE" sheetId="6" state="visible" r:id="rId8"/>
    <sheet name="RA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<sst xmlns="http://schemas.openxmlformats.org/spreadsheetml/2006/main" count="2740" uniqueCount="518">
  <si>
    <t xml:space="preserve">S.NO.</t>
  </si>
  <si>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</si>
  <si>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</si>
  <si>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</si>
  <si>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</si>
  <si>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</si>
  <si>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</si>
  <si>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</si>
  <si>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</si>
  <si>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WT.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</si>
  <si>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</si>
  <si>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</si>
  <si>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</si>
  <si>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</si>
  <si>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</si>
  <si>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</si>
  <si>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</si>
  <si>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</si>
  <si>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</si>
  <si>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</si>
  <si>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</si>
  <si>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</si>
  <si>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</si>
  <si>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CAL</t>
  </si>
  <si>
    <t xml:space="preserve">FREE DAY</t>
  </si>
  <si>
    <t xml:space="preserve">DEM</t>
  </si>
  <si>
    <t xml:space="preserve">DAYS</t>
  </si>
  <si>
    <t xml:space="preserve">dem diff</t>
  </si>
  <si>
    <t xml:space="preserve">AY0560</t>
  </si>
  <si>
    <t xml:space="preserve">771-93514179</t>
  </si>
  <si>
    <t xml:space="preserve">P</t>
  </si>
  <si>
    <t xml:space="preserve">DEL</t>
  </si>
  <si>
    <t xml:space="preserve">JFK</t>
  </si>
  <si>
    <t xml:space="preserve">20:08:00</t>
  </si>
  <si>
    <t xml:space="preserve">05:08:00</t>
  </si>
  <si>
    <t xml:space="preserve">04:03:00</t>
  </si>
  <si>
    <t xml:space="preserve">PMC97477AY</t>
  </si>
  <si>
    <t xml:space="preserve">06:08:00</t>
  </si>
  <si>
    <t xml:space="preserve">PERISHABLE FOOD</t>
  </si>
  <si>
    <t xml:space="preserve">GEN</t>
  </si>
  <si>
    <t xml:space="preserve">771-40283719</t>
  </si>
  <si>
    <t xml:space="preserve">LAX</t>
  </si>
  <si>
    <t xml:space="preserve">15:01:00</t>
  </si>
  <si>
    <t xml:space="preserve">07:59:00</t>
  </si>
  <si>
    <t xml:space="preserve">20:50:00</t>
  </si>
  <si>
    <t xml:space="preserve">PMC23716AY</t>
  </si>
  <si>
    <t xml:space="preserve">05:24:00</t>
  </si>
  <si>
    <t xml:space="preserve">MACHINERY PARTS</t>
  </si>
  <si>
    <t xml:space="preserve">AY0566</t>
  </si>
  <si>
    <t xml:space="preserve">771-28781754</t>
  </si>
  <si>
    <t xml:space="preserve">ARN</t>
  </si>
  <si>
    <t xml:space="preserve">08:12:00</t>
  </si>
  <si>
    <t xml:space="preserve">06:04:00</t>
  </si>
  <si>
    <t xml:space="preserve">19:38:00</t>
  </si>
  <si>
    <t xml:space="preserve">PMC67662AY</t>
  </si>
  <si>
    <t xml:space="preserve">07:54:00</t>
  </si>
  <si>
    <t xml:space="preserve">SPICES</t>
  </si>
  <si>
    <t xml:space="preserve">771-54328230</t>
  </si>
  <si>
    <t xml:space="preserve">HEL</t>
  </si>
  <si>
    <t xml:space="preserve">11:21:00</t>
  </si>
  <si>
    <t xml:space="preserve">06:23:00</t>
  </si>
  <si>
    <t xml:space="preserve">04:53:00</t>
  </si>
  <si>
    <t xml:space="preserve">BT3734**</t>
  </si>
  <si>
    <t xml:space="preserve">12:25:00</t>
  </si>
  <si>
    <t xml:space="preserve">AUTO PARTS</t>
  </si>
  <si>
    <t xml:space="preserve">VAL</t>
  </si>
  <si>
    <t xml:space="preserve">771-55782977</t>
  </si>
  <si>
    <t xml:space="preserve">A</t>
  </si>
  <si>
    <t xml:space="preserve">AMS</t>
  </si>
  <si>
    <t xml:space="preserve">14:14:00</t>
  </si>
  <si>
    <t xml:space="preserve">16:25:00</t>
  </si>
  <si>
    <t xml:space="preserve">03:45:00</t>
  </si>
  <si>
    <t xml:space="preserve">PMC92769AY</t>
  </si>
  <si>
    <t xml:space="preserve">04:05:00</t>
  </si>
  <si>
    <t xml:space="preserve">AVI</t>
  </si>
  <si>
    <t xml:space="preserve">771-15448103</t>
  </si>
  <si>
    <t xml:space="preserve">FRA</t>
  </si>
  <si>
    <t xml:space="preserve">13:37:00</t>
  </si>
  <si>
    <t xml:space="preserve">07:47:00</t>
  </si>
  <si>
    <t xml:space="preserve">23:05:00</t>
  </si>
  <si>
    <t xml:space="preserve">PMC88546AY</t>
  </si>
  <si>
    <t xml:space="preserve">02:10:00</t>
  </si>
  <si>
    <t xml:space="preserve">771-30411971</t>
  </si>
  <si>
    <t xml:space="preserve">09:26:00</t>
  </si>
  <si>
    <t xml:space="preserve">07:29:00</t>
  </si>
  <si>
    <t xml:space="preserve">06:30:00</t>
  </si>
  <si>
    <t xml:space="preserve">BT9261**</t>
  </si>
  <si>
    <t xml:space="preserve">05:26:00</t>
  </si>
  <si>
    <t xml:space="preserve">MEDICINE</t>
  </si>
  <si>
    <t xml:space="preserve">VUN</t>
  </si>
  <si>
    <t xml:space="preserve">771-29236205</t>
  </si>
  <si>
    <t xml:space="preserve">13:35:00</t>
  </si>
  <si>
    <t xml:space="preserve">22:39:00</t>
  </si>
  <si>
    <t xml:space="preserve">17:02:00</t>
  </si>
  <si>
    <t xml:space="preserve">PMC14097AY</t>
  </si>
  <si>
    <t xml:space="preserve">00:11:00</t>
  </si>
  <si>
    <t xml:space="preserve">TEXTILES</t>
  </si>
  <si>
    <t xml:space="preserve">771-38076752</t>
  </si>
  <si>
    <t xml:space="preserve">ORD</t>
  </si>
  <si>
    <t xml:space="preserve">13:41:00</t>
  </si>
  <si>
    <t xml:space="preserve">09:08:00</t>
  </si>
  <si>
    <t xml:space="preserve">21:36:00</t>
  </si>
  <si>
    <t xml:space="preserve">PMC48733AY</t>
  </si>
  <si>
    <t xml:space="preserve">10:43:00</t>
  </si>
  <si>
    <t xml:space="preserve">PHARMACEUTICALS</t>
  </si>
  <si>
    <t xml:space="preserve">771-68545005</t>
  </si>
  <si>
    <t xml:space="preserve">MXP</t>
  </si>
  <si>
    <t xml:space="preserve">15:42:00</t>
  </si>
  <si>
    <t xml:space="preserve">01:13:00</t>
  </si>
  <si>
    <t xml:space="preserve">BT8383**</t>
  </si>
  <si>
    <t xml:space="preserve">03:35:00</t>
  </si>
  <si>
    <t xml:space="preserve">SURGICAL GOODS</t>
  </si>
  <si>
    <t xml:space="preserve">771-70651843</t>
  </si>
  <si>
    <t xml:space="preserve">21:21:00</t>
  </si>
  <si>
    <t xml:space="preserve">16:26:00</t>
  </si>
  <si>
    <t xml:space="preserve">23:51:00</t>
  </si>
  <si>
    <t xml:space="preserve">PMC12598AY</t>
  </si>
  <si>
    <t xml:space="preserve">06:16:00</t>
  </si>
  <si>
    <t xml:space="preserve">771-53746597</t>
  </si>
  <si>
    <t xml:space="preserve">11:02:00</t>
  </si>
  <si>
    <t xml:space="preserve">06:17:00</t>
  </si>
  <si>
    <t xml:space="preserve">00:38:00</t>
  </si>
  <si>
    <t xml:space="preserve">PMC96490AY</t>
  </si>
  <si>
    <t xml:space="preserve">09:54:00</t>
  </si>
  <si>
    <t xml:space="preserve">COTTON YARN</t>
  </si>
  <si>
    <t xml:space="preserve">771-18071904</t>
  </si>
  <si>
    <t xml:space="preserve">09:53:00</t>
  </si>
  <si>
    <t xml:space="preserve">23:36:00</t>
  </si>
  <si>
    <t xml:space="preserve">22:56:00</t>
  </si>
  <si>
    <t xml:space="preserve">PMC54014AY</t>
  </si>
  <si>
    <t xml:space="preserve">05:53:00</t>
  </si>
  <si>
    <t xml:space="preserve">CONSOL SHIPMENT</t>
  </si>
  <si>
    <t xml:space="preserve">771-59366003</t>
  </si>
  <si>
    <t xml:space="preserve">23:50:00</t>
  </si>
  <si>
    <t xml:space="preserve">01:44:00</t>
  </si>
  <si>
    <t xml:space="preserve">20:05:00</t>
  </si>
  <si>
    <t xml:space="preserve">PMC21248AY</t>
  </si>
  <si>
    <t xml:space="preserve">12:19:00</t>
  </si>
  <si>
    <t xml:space="preserve">SPL</t>
  </si>
  <si>
    <t xml:space="preserve">771-75282580</t>
  </si>
  <si>
    <t xml:space="preserve">CPH</t>
  </si>
  <si>
    <t xml:space="preserve">17:50:00</t>
  </si>
  <si>
    <t xml:space="preserve">00:30:00</t>
  </si>
  <si>
    <t xml:space="preserve">04:38:00</t>
  </si>
  <si>
    <t xml:space="preserve">BT4056**</t>
  </si>
  <si>
    <t xml:space="preserve">08:35:00</t>
  </si>
  <si>
    <t xml:space="preserve">ELECTRONICS</t>
  </si>
  <si>
    <t xml:space="preserve">771-27173910</t>
  </si>
  <si>
    <t xml:space="preserve">16:23:00</t>
  </si>
  <si>
    <t xml:space="preserve">06:52:00</t>
  </si>
  <si>
    <t xml:space="preserve">03:11:00</t>
  </si>
  <si>
    <t xml:space="preserve">PMC22103AY</t>
  </si>
  <si>
    <t xml:space="preserve">01:30:00</t>
  </si>
  <si>
    <t xml:space="preserve">GARMENTS</t>
  </si>
  <si>
    <t xml:space="preserve">771-38836284</t>
  </si>
  <si>
    <t xml:space="preserve">16:10:00</t>
  </si>
  <si>
    <t xml:space="preserve">14:19:00</t>
  </si>
  <si>
    <t xml:space="preserve">03:32:00</t>
  </si>
  <si>
    <t xml:space="preserve">PMC98583AY</t>
  </si>
  <si>
    <t xml:space="preserve">MOBILE PHONES</t>
  </si>
  <si>
    <t xml:space="preserve">771-52616596</t>
  </si>
  <si>
    <t xml:space="preserve">12:23:00</t>
  </si>
  <si>
    <t xml:space="preserve">06:59:00</t>
  </si>
  <si>
    <t xml:space="preserve">07:31:00</t>
  </si>
  <si>
    <t xml:space="preserve">BT4116**</t>
  </si>
  <si>
    <t xml:space="preserve">07:13:00</t>
  </si>
  <si>
    <t xml:space="preserve">771-60746576</t>
  </si>
  <si>
    <t xml:space="preserve">12:36:00</t>
  </si>
  <si>
    <t xml:space="preserve">09:19:00</t>
  </si>
  <si>
    <t xml:space="preserve">22:09:00</t>
  </si>
  <si>
    <t xml:space="preserve">PMC36488AY</t>
  </si>
  <si>
    <t xml:space="preserve">09:27:00</t>
  </si>
  <si>
    <t xml:space="preserve">771-81482272</t>
  </si>
  <si>
    <t xml:space="preserve">18:16:00</t>
  </si>
  <si>
    <t xml:space="preserve">10:11:00</t>
  </si>
  <si>
    <t xml:space="preserve">20:15:00</t>
  </si>
  <si>
    <t xml:space="preserve">BT8009**</t>
  </si>
  <si>
    <t xml:space="preserve">05:10:00</t>
  </si>
  <si>
    <t xml:space="preserve">771-47367546</t>
  </si>
  <si>
    <t xml:space="preserve">16:13:00</t>
  </si>
  <si>
    <t xml:space="preserve">11:58:00</t>
  </si>
  <si>
    <t xml:space="preserve">BT3926**</t>
  </si>
  <si>
    <t xml:space="preserve">01:00:00</t>
  </si>
  <si>
    <t xml:space="preserve">PER</t>
  </si>
  <si>
    <t xml:space="preserve">771-54870013</t>
  </si>
  <si>
    <t xml:space="preserve">18:41:00</t>
  </si>
  <si>
    <t xml:space="preserve">20:41:00</t>
  </si>
  <si>
    <t xml:space="preserve">20:27:00</t>
  </si>
  <si>
    <t xml:space="preserve">PMC66303AY</t>
  </si>
  <si>
    <t xml:space="preserve">11:13:00</t>
  </si>
  <si>
    <t xml:space="preserve">771-11179261</t>
  </si>
  <si>
    <t xml:space="preserve">17:19:00</t>
  </si>
  <si>
    <t xml:space="preserve">01:10:00</t>
  </si>
  <si>
    <t xml:space="preserve">20:39:00</t>
  </si>
  <si>
    <t xml:space="preserve">BT7783**</t>
  </si>
  <si>
    <t xml:space="preserve">11:32:00</t>
  </si>
  <si>
    <t xml:space="preserve">771-99586540</t>
  </si>
  <si>
    <t xml:space="preserve">19:59:00</t>
  </si>
  <si>
    <t xml:space="preserve">23:25:00</t>
  </si>
  <si>
    <t xml:space="preserve">PMC51160AY</t>
  </si>
  <si>
    <t xml:space="preserve">02:46:00</t>
  </si>
  <si>
    <t xml:space="preserve">SHOES</t>
  </si>
  <si>
    <t xml:space="preserve">771-97306159</t>
  </si>
  <si>
    <t xml:space="preserve">08:23:00</t>
  </si>
  <si>
    <t xml:space="preserve">04:59:00</t>
  </si>
  <si>
    <t xml:space="preserve">21:40:00</t>
  </si>
  <si>
    <t xml:space="preserve">PMC15692AY</t>
  </si>
  <si>
    <t xml:space="preserve">11:52:00</t>
  </si>
  <si>
    <t xml:space="preserve">CONSOL CARGO</t>
  </si>
  <si>
    <t xml:space="preserve">771-35675064</t>
  </si>
  <si>
    <t xml:space="preserve">18:45:00</t>
  </si>
  <si>
    <t xml:space="preserve">18:21:00</t>
  </si>
  <si>
    <t xml:space="preserve">PMC39330AY</t>
  </si>
  <si>
    <t xml:space="preserve">06:07:00</t>
  </si>
  <si>
    <t xml:space="preserve">771-35282980</t>
  </si>
  <si>
    <t xml:space="preserve">18:34:00</t>
  </si>
  <si>
    <t xml:space="preserve">00:57:00</t>
  </si>
  <si>
    <t xml:space="preserve">20:12:00</t>
  </si>
  <si>
    <t xml:space="preserve">PMC68279AY</t>
  </si>
  <si>
    <t xml:space="preserve">12:48:00</t>
  </si>
  <si>
    <t xml:space="preserve">771-28024437</t>
  </si>
  <si>
    <t xml:space="preserve">19:51:00</t>
  </si>
  <si>
    <t xml:space="preserve">18:56:00</t>
  </si>
  <si>
    <t xml:space="preserve">13:21:00</t>
  </si>
  <si>
    <t xml:space="preserve">PMC51480AY</t>
  </si>
  <si>
    <t xml:space="preserve">05:29:00</t>
  </si>
  <si>
    <t xml:space="preserve">771-37970550</t>
  </si>
  <si>
    <t xml:space="preserve">20:03:00</t>
  </si>
  <si>
    <t xml:space="preserve">02:45:00</t>
  </si>
  <si>
    <t xml:space="preserve">19:02:00</t>
  </si>
  <si>
    <t xml:space="preserve">BT2515**</t>
  </si>
  <si>
    <t xml:space="preserve">05:42:00</t>
  </si>
  <si>
    <t xml:space="preserve">771-68616044</t>
  </si>
  <si>
    <t xml:space="preserve">10:40:00</t>
  </si>
  <si>
    <t xml:space="preserve">07:28:00</t>
  </si>
  <si>
    <t xml:space="preserve">PMC97048AY</t>
  </si>
  <si>
    <t xml:space="preserve">05:05:00</t>
  </si>
  <si>
    <t xml:space="preserve">771-18598712</t>
  </si>
  <si>
    <t xml:space="preserve">12:01:00</t>
  </si>
  <si>
    <t xml:space="preserve">17:05:00</t>
  </si>
  <si>
    <t xml:space="preserve">15:11:00</t>
  </si>
  <si>
    <t xml:space="preserve">PMC88515AY</t>
  </si>
  <si>
    <t xml:space="preserve">05:47:00</t>
  </si>
  <si>
    <t xml:space="preserve">DGR</t>
  </si>
  <si>
    <t xml:space="preserve">771-38858590</t>
  </si>
  <si>
    <t xml:space="preserve">15:32:00</t>
  </si>
  <si>
    <t xml:space="preserve">02:18:00</t>
  </si>
  <si>
    <t xml:space="preserve">16:47:00</t>
  </si>
  <si>
    <t xml:space="preserve">PMC64123AY</t>
  </si>
  <si>
    <t xml:space="preserve">04:15:00</t>
  </si>
  <si>
    <t xml:space="preserve">771-37185032</t>
  </si>
  <si>
    <t xml:space="preserve">16:39:00</t>
  </si>
  <si>
    <t xml:space="preserve">15:04:00</t>
  </si>
  <si>
    <t xml:space="preserve">21:37:00</t>
  </si>
  <si>
    <t xml:space="preserve">PMC42018AY</t>
  </si>
  <si>
    <t xml:space="preserve">09:39:00</t>
  </si>
  <si>
    <t xml:space="preserve">771-32037527</t>
  </si>
  <si>
    <t xml:space="preserve">21:27:00</t>
  </si>
  <si>
    <t xml:space="preserve">01:05:00</t>
  </si>
  <si>
    <t xml:space="preserve">13:39:00</t>
  </si>
  <si>
    <t xml:space="preserve">BT5352**</t>
  </si>
  <si>
    <t xml:space="preserve">10:03:00</t>
  </si>
  <si>
    <t xml:space="preserve">771-68278525</t>
  </si>
  <si>
    <t xml:space="preserve">16:38:00</t>
  </si>
  <si>
    <t xml:space="preserve">15:40:00</t>
  </si>
  <si>
    <t xml:space="preserve">BT4955**</t>
  </si>
  <si>
    <t xml:space="preserve">00:07:00</t>
  </si>
  <si>
    <t xml:space="preserve">771-81132717</t>
  </si>
  <si>
    <t xml:space="preserve">12:32:00</t>
  </si>
  <si>
    <t xml:space="preserve">00:15:00</t>
  </si>
  <si>
    <t xml:space="preserve">12:53:00</t>
  </si>
  <si>
    <t xml:space="preserve">BT3189**</t>
  </si>
  <si>
    <t xml:space="preserve">10:20:00</t>
  </si>
  <si>
    <t xml:space="preserve">771-61252218</t>
  </si>
  <si>
    <t xml:space="preserve">22:00:00</t>
  </si>
  <si>
    <t xml:space="preserve">23:30:00</t>
  </si>
  <si>
    <t xml:space="preserve">PMC37142AY</t>
  </si>
  <si>
    <t xml:space="preserve">09:30:00</t>
  </si>
  <si>
    <t xml:space="preserve">771-16590078</t>
  </si>
  <si>
    <t xml:space="preserve">23:58:00</t>
  </si>
  <si>
    <t xml:space="preserve">01:27:00</t>
  </si>
  <si>
    <t xml:space="preserve">20:16:00</t>
  </si>
  <si>
    <t xml:space="preserve">BT5710**</t>
  </si>
  <si>
    <t xml:space="preserve">10:05:00</t>
  </si>
  <si>
    <t xml:space="preserve">771-49496286</t>
  </si>
  <si>
    <t xml:space="preserve">21:42:00</t>
  </si>
  <si>
    <t xml:space="preserve">18:07:00</t>
  </si>
  <si>
    <t xml:space="preserve">04:06:00</t>
  </si>
  <si>
    <t xml:space="preserve">PMC96419AY</t>
  </si>
  <si>
    <t xml:space="preserve">09:35:00</t>
  </si>
  <si>
    <t xml:space="preserve">771-95550581</t>
  </si>
  <si>
    <t xml:space="preserve">10:45:00</t>
  </si>
  <si>
    <t xml:space="preserve">17:25:00</t>
  </si>
  <si>
    <t xml:space="preserve">23:52:00</t>
  </si>
  <si>
    <t xml:space="preserve">PMC94716AY</t>
  </si>
  <si>
    <t xml:space="preserve">08:30:00</t>
  </si>
  <si>
    <t xml:space="preserve">771-34926005</t>
  </si>
  <si>
    <t xml:space="preserve">19:30:00</t>
  </si>
  <si>
    <t xml:space="preserve">10:47:00</t>
  </si>
  <si>
    <t xml:space="preserve">17:06:00</t>
  </si>
  <si>
    <t xml:space="preserve">PMC98961AY</t>
  </si>
  <si>
    <t xml:space="preserve">08:09:00</t>
  </si>
  <si>
    <t xml:space="preserve">771-46240842</t>
  </si>
  <si>
    <t xml:space="preserve">22:50:00</t>
  </si>
  <si>
    <t xml:space="preserve">05:13:00</t>
  </si>
  <si>
    <t xml:space="preserve">13:27:00</t>
  </si>
  <si>
    <t xml:space="preserve">PMC79195AY</t>
  </si>
  <si>
    <t xml:space="preserve">02:52:00</t>
  </si>
  <si>
    <t xml:space="preserve">771-35998351</t>
  </si>
  <si>
    <t xml:space="preserve">23:19:00</t>
  </si>
  <si>
    <t xml:space="preserve">04:11:00</t>
  </si>
  <si>
    <t xml:space="preserve">02:02:00</t>
  </si>
  <si>
    <t xml:space="preserve">PMC67291AY</t>
  </si>
  <si>
    <t xml:space="preserve">02:58:00</t>
  </si>
  <si>
    <t xml:space="preserve">771-63623242</t>
  </si>
  <si>
    <t xml:space="preserve">21:55:00</t>
  </si>
  <si>
    <t xml:space="preserve">11:41:00</t>
  </si>
  <si>
    <t xml:space="preserve">PMC41729AY</t>
  </si>
  <si>
    <t xml:space="preserve">03:05:00</t>
  </si>
  <si>
    <t xml:space="preserve">771-34331333</t>
  </si>
  <si>
    <t xml:space="preserve">22:18:00</t>
  </si>
  <si>
    <t xml:space="preserve">00:49:00</t>
  </si>
  <si>
    <t xml:space="preserve">PMC56545AY</t>
  </si>
  <si>
    <t xml:space="preserve">07:25:00</t>
  </si>
  <si>
    <t xml:space="preserve">LEATHER GOODS</t>
  </si>
  <si>
    <t xml:space="preserve">771-24103467</t>
  </si>
  <si>
    <t xml:space="preserve">06:41:00</t>
  </si>
  <si>
    <t xml:space="preserve">09:20:00</t>
  </si>
  <si>
    <t xml:space="preserve">BT8314**</t>
  </si>
  <si>
    <t xml:space="preserve">04:30:00</t>
  </si>
  <si>
    <t xml:space="preserve">771-68255537</t>
  </si>
  <si>
    <t xml:space="preserve">19:22:00</t>
  </si>
  <si>
    <t xml:space="preserve">06:34:00</t>
  </si>
  <si>
    <t xml:space="preserve">02:28:00</t>
  </si>
  <si>
    <t xml:space="preserve">PMC67361AY</t>
  </si>
  <si>
    <t xml:space="preserve">771-86911186</t>
  </si>
  <si>
    <t xml:space="preserve">17:08:00</t>
  </si>
  <si>
    <t xml:space="preserve">23:16:00</t>
  </si>
  <si>
    <t xml:space="preserve">08:33:00</t>
  </si>
  <si>
    <t xml:space="preserve">PMC73609AY</t>
  </si>
  <si>
    <t xml:space="preserve">08:14:00</t>
  </si>
  <si>
    <t xml:space="preserve">771-95866720</t>
  </si>
  <si>
    <t xml:space="preserve">10:44:00</t>
  </si>
  <si>
    <t xml:space="preserve">17:42:00</t>
  </si>
  <si>
    <t xml:space="preserve">BT6592**</t>
  </si>
  <si>
    <t xml:space="preserve">771-51362602</t>
  </si>
  <si>
    <t xml:space="preserve">12:29:00</t>
  </si>
  <si>
    <t xml:space="preserve">14:20:00</t>
  </si>
  <si>
    <t xml:space="preserve">02:35:00</t>
  </si>
  <si>
    <t xml:space="preserve">PMC95435AY</t>
  </si>
  <si>
    <t xml:space="preserve">09:15:00</t>
  </si>
  <si>
    <t xml:space="preserve">771-51174438</t>
  </si>
  <si>
    <t xml:space="preserve">21:34:00</t>
  </si>
  <si>
    <t xml:space="preserve">16:24:00</t>
  </si>
  <si>
    <t xml:space="preserve">07:57:00</t>
  </si>
  <si>
    <t xml:space="preserve">PMC70790AY</t>
  </si>
  <si>
    <t xml:space="preserve">771-77816048</t>
  </si>
  <si>
    <t xml:space="preserve">19:00:00</t>
  </si>
  <si>
    <t xml:space="preserve">05:02:00</t>
  </si>
  <si>
    <t xml:space="preserve">PMC91657AY</t>
  </si>
  <si>
    <t xml:space="preserve">04:21:00</t>
  </si>
  <si>
    <t xml:space="preserve">771-87248517</t>
  </si>
  <si>
    <t xml:space="preserve">11:30:00</t>
  </si>
  <si>
    <t xml:space="preserve">03:21:00</t>
  </si>
  <si>
    <t xml:space="preserve">13:08:00</t>
  </si>
  <si>
    <t xml:space="preserve">PMC96439AY</t>
  </si>
  <si>
    <t xml:space="preserve">03:54:00</t>
  </si>
  <si>
    <t xml:space="preserve">TRM</t>
  </si>
  <si>
    <t xml:space="preserve">771-70497104</t>
  </si>
  <si>
    <t xml:space="preserve">14:15:00</t>
  </si>
  <si>
    <t xml:space="preserve">08:46:00</t>
  </si>
  <si>
    <t xml:space="preserve">PMC46221AY</t>
  </si>
  <si>
    <t xml:space="preserve">09:07:00</t>
  </si>
  <si>
    <t xml:space="preserve">771-42947372</t>
  </si>
  <si>
    <t xml:space="preserve">08:28:00</t>
  </si>
  <si>
    <t xml:space="preserve">18:12:00</t>
  </si>
  <si>
    <t xml:space="preserve">PMC47448AY</t>
  </si>
  <si>
    <t xml:space="preserve">771-26021307</t>
  </si>
  <si>
    <t xml:space="preserve">18:32:00</t>
  </si>
  <si>
    <t xml:space="preserve">21:54:00</t>
  </si>
  <si>
    <t xml:space="preserve">00:45:00</t>
  </si>
  <si>
    <t xml:space="preserve">BT2797**</t>
  </si>
  <si>
    <t xml:space="preserve">01:43:00</t>
  </si>
  <si>
    <t xml:space="preserve">771-48891157</t>
  </si>
  <si>
    <t xml:space="preserve">14:57:00</t>
  </si>
  <si>
    <t xml:space="preserve">19:09:00</t>
  </si>
  <si>
    <t xml:space="preserve">PMC98859AY</t>
  </si>
  <si>
    <t xml:space="preserve">771-67398817</t>
  </si>
  <si>
    <t xml:space="preserve">19:49:00</t>
  </si>
  <si>
    <t xml:space="preserve">09:10:00</t>
  </si>
  <si>
    <t xml:space="preserve">00:29:00</t>
  </si>
  <si>
    <t xml:space="preserve">PMC96018AY</t>
  </si>
  <si>
    <t xml:space="preserve">04:22:00</t>
  </si>
  <si>
    <t xml:space="preserve">771-69356791</t>
  </si>
  <si>
    <t xml:space="preserve">15:54:00</t>
  </si>
  <si>
    <t xml:space="preserve">03:43:00</t>
  </si>
  <si>
    <t xml:space="preserve">00:19:00</t>
  </si>
  <si>
    <t xml:space="preserve">PMC40996AY</t>
  </si>
  <si>
    <t xml:space="preserve">06:48:00</t>
  </si>
  <si>
    <t xml:space="preserve">771-73264627</t>
  </si>
  <si>
    <t xml:space="preserve">15:37:00</t>
  </si>
  <si>
    <t xml:space="preserve">05:40:00</t>
  </si>
  <si>
    <t xml:space="preserve">23:08:00</t>
  </si>
  <si>
    <t xml:space="preserve">BT7213**</t>
  </si>
  <si>
    <t xml:space="preserve">00:46:00</t>
  </si>
  <si>
    <t xml:space="preserve">771-73032801</t>
  </si>
  <si>
    <t xml:space="preserve">16:30:00</t>
  </si>
  <si>
    <t xml:space="preserve">12:15:00</t>
  </si>
  <si>
    <t xml:space="preserve">02:04:00</t>
  </si>
  <si>
    <t xml:space="preserve">BT4697**</t>
  </si>
  <si>
    <t xml:space="preserve">07:15:00</t>
  </si>
  <si>
    <t xml:space="preserve">771-54325658</t>
  </si>
  <si>
    <t xml:space="preserve">10:59:00</t>
  </si>
  <si>
    <t xml:space="preserve">04:49:00</t>
  </si>
  <si>
    <t xml:space="preserve">16:52:00</t>
  </si>
  <si>
    <t xml:space="preserve">BT9787**</t>
  </si>
  <si>
    <t xml:space="preserve">09:43:00</t>
  </si>
  <si>
    <t xml:space="preserve">771-10118516</t>
  </si>
  <si>
    <t xml:space="preserve">15:38:00</t>
  </si>
  <si>
    <t xml:space="preserve">14:25:00</t>
  </si>
  <si>
    <t xml:space="preserve">PMC76374AY</t>
  </si>
  <si>
    <t xml:space="preserve">02:07:00</t>
  </si>
  <si>
    <t xml:space="preserve">771-19282826</t>
  </si>
  <si>
    <t xml:space="preserve">11:17:00</t>
  </si>
  <si>
    <t xml:space="preserve">07:10:00</t>
  </si>
  <si>
    <t xml:space="preserve">PMC20139AY</t>
  </si>
  <si>
    <t xml:space="preserve">07:58:00</t>
  </si>
  <si>
    <t xml:space="preserve">771-72924262</t>
  </si>
  <si>
    <t xml:space="preserve">16:50:00</t>
  </si>
  <si>
    <t xml:space="preserve">08:06:00</t>
  </si>
  <si>
    <t xml:space="preserve">07:35:00</t>
  </si>
  <si>
    <t xml:space="preserve">PMC85379AY</t>
  </si>
  <si>
    <t xml:space="preserve">09:38:00</t>
  </si>
  <si>
    <t xml:space="preserve">771-77568057</t>
  </si>
  <si>
    <t xml:space="preserve">08:38:00</t>
  </si>
  <si>
    <t xml:space="preserve">16:17:00</t>
  </si>
  <si>
    <t xml:space="preserve">07:48:00</t>
  </si>
  <si>
    <t xml:space="preserve">PMC15258AY</t>
  </si>
  <si>
    <t xml:space="preserve">10:32:00</t>
  </si>
  <si>
    <t xml:space="preserve">HANDICRAFTS</t>
  </si>
  <si>
    <t xml:space="preserve">771-96356063</t>
  </si>
  <si>
    <t xml:space="preserve">23:34:00</t>
  </si>
  <si>
    <t xml:space="preserve">13:06:00</t>
  </si>
  <si>
    <t xml:space="preserve">PMC58689AY</t>
  </si>
  <si>
    <t xml:space="preserve">04:13:00</t>
  </si>
  <si>
    <t xml:space="preserve">771-43329744</t>
  </si>
  <si>
    <t xml:space="preserve">23:01:00</t>
  </si>
  <si>
    <t xml:space="preserve">07:36:00</t>
  </si>
  <si>
    <t xml:space="preserve">PMC10728AY</t>
  </si>
  <si>
    <t xml:space="preserve">11:04:00</t>
  </si>
  <si>
    <t xml:space="preserve">771-84002168</t>
  </si>
  <si>
    <t xml:space="preserve">13:05:00</t>
  </si>
  <si>
    <t xml:space="preserve">BT4427**</t>
  </si>
  <si>
    <t xml:space="preserve">09:56:00</t>
  </si>
  <si>
    <t xml:space="preserve">771-55371992</t>
  </si>
  <si>
    <t xml:space="preserve">16:12:00</t>
  </si>
  <si>
    <t xml:space="preserve">04:37:00</t>
  </si>
  <si>
    <t xml:space="preserve">12:38:00</t>
  </si>
  <si>
    <t xml:space="preserve">PMC29318AY</t>
  </si>
  <si>
    <t xml:space="preserve">06:37:00</t>
  </si>
  <si>
    <t xml:space="preserve">771-16770002</t>
  </si>
  <si>
    <t xml:space="preserve">09:48:00</t>
  </si>
  <si>
    <t xml:space="preserve">03:26:00</t>
  </si>
  <si>
    <t xml:space="preserve">PMC53410AY</t>
  </si>
  <si>
    <t xml:space="preserve">09:36:00</t>
  </si>
  <si>
    <t xml:space="preserve">771-55716820</t>
  </si>
  <si>
    <t xml:space="preserve">23:00:00</t>
  </si>
  <si>
    <t xml:space="preserve">08:29:00</t>
  </si>
  <si>
    <t xml:space="preserve">BT9509**</t>
  </si>
  <si>
    <t xml:space="preserve">10:08:00</t>
  </si>
  <si>
    <t xml:space="preserve">EXPORTS AIRLINE SUMMARY</t>
  </si>
  <si>
    <t xml:space="preserve">Sum of PCS</t>
  </si>
  <si>
    <t xml:space="preserve">Sum of GRS Wg</t>
  </si>
  <si>
    <t xml:space="preserve">Sum of CHG WT.</t>
  </si>
  <si>
    <t xml:space="preserve">SERVICE CHALLAN EXPORT</t>
  </si>
  <si>
    <t xml:space="preserve">CARRIER:AY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</si>
  <si>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</si>
  <si>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</si>
  <si>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</si>
  <si>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</si>
  <si>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</si>
  <si>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</si>
  <si>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</si>
  <si>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</si>
  <si>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XRAY USAGE CHARGES</t>
  </si>
  <si>
    <t xml:space="preserve">CARGO HANDLING CHARGES</t>
  </si>
  <si>
    <t xml:space="preserve">AIR SIDE DEMURRAGE CHARGES</t>
  </si>
  <si>
    <t xml:space="preserve">TOTAL</t>
  </si>
  <si>
    <t xml:space="preserve">AIRLINE INVOICE EXPORT</t>
  </si>
  <si>
    <t xml:space="preserve">Carrier: AY</t>
  </si>
  <si>
    <t xml:space="preserve">FLIGHT.No</t>
  </si>
  <si>
    <t xml:space="preserve">FLT DT</t>
  </si>
  <si>
    <t xml:space="preserve">AWB. NO.</t>
  </si>
  <si>
    <t xml:space="preserve">SFX</t>
  </si>
  <si>
    <t xml:space="preserve">ORI</t>
  </si>
  <si>
    <t xml:space="preserve">DES</t>
  </si>
  <si>
    <t xml:space="preserve">GROSS WT</t>
  </si>
  <si>
    <t xml:space="preserve">CHG. WT.</t>
  </si>
  <si>
    <t xml:space="preserve">TOTAL WGT</t>
  </si>
  <si>
    <t xml:space="preserve">BILLING SHC</t>
  </si>
  <si>
    <t xml:space="preserve">AWB.No</t>
  </si>
  <si>
    <t xml:space="preserve">CH.WT</t>
  </si>
  <si>
    <t xml:space="preserve">RCS DATE</t>
  </si>
  <si>
    <t xml:space="preserve">RCS TIME</t>
  </si>
  <si>
    <t xml:space="preserve">AIR SIDE DEM RATE</t>
  </si>
  <si>
    <t xml:space="preserve">NO OF DAYS</t>
  </si>
  <si>
    <t xml:space="preserve">AIR SIDE DEM AMT</t>
  </si>
  <si>
    <t xml:space="preserve">AMT INCLUDING GST.</t>
  </si>
  <si>
    <t xml:space="preserve">RATE CARD - AY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</si>
  <si>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</si>
  <si>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</si>
  <si>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</si>
  <si>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</si>
  <si>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</si>
  <si>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</si>
  <si>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</si>
  <si>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RATE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</si>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</sst>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dd\-mmm\-yy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n">
        <v>1</v>
      </c>
      <c r="B2" s="0" t="s">
        <v>28</v>
      </c>
      <c r="C2" s="2" t="n">
        <v>46054</v>
      </c>
      <c r="D2" s="3" t="s">
        <v>29</v>
      </c>
      <c r="E2" s="3" t="s">
        <v>30</v>
      </c>
      <c r="F2" s="3" t="s">
        <v>31</v>
      </c>
      <c r="G2" s="3" t="s">
        <v>32</v>
      </c>
      <c r="H2" s="0" t="n">
        <v>131</v>
      </c>
      <c r="I2" s="0" t="n">
        <v>632.55</v>
      </c>
      <c r="J2" s="0" t="n">
        <v>632.99</v>
      </c>
      <c r="K2" s="2" t="n">
        <v>46051</v>
      </c>
      <c r="L2" s="3" t="s">
        <v>33</v>
      </c>
      <c r="M2" s="2" t="n">
        <v>46051</v>
      </c>
      <c r="N2" s="3" t="s">
        <v>34</v>
      </c>
      <c r="O2" s="2" t="n">
        <v>46052</v>
      </c>
      <c r="P2" s="3" t="s">
        <v>35</v>
      </c>
      <c r="Q2" s="3" t="s">
        <v>36</v>
      </c>
      <c r="R2" s="2" t="n">
        <v>46054</v>
      </c>
      <c r="S2" s="3" t="s">
        <v>37</v>
      </c>
      <c r="T2" s="3" t="s">
        <v>38</v>
      </c>
      <c r="U2" s="3" t="s">
        <v>39</v>
      </c>
      <c r="V2" s="3" t="s">
        <v>39</v>
      </c>
      <c r="W2" s="3" t="s">
        <v>39</v>
      </c>
      <c r="X2" s="0" t="n">
        <v>3.1568</v>
      </c>
      <c r="Y2" s="0" t="n">
        <v>1.5</v>
      </c>
      <c r="Z2" s="0" t="n">
        <v>1.6568</v>
      </c>
      <c r="AA2" s="0" t="n">
        <v>2</v>
      </c>
      <c r="AB2" s="0" t="n">
        <v>0</v>
      </c>
    </row>
    <row r="3" customFormat="false" ht="15" hidden="false" customHeight="false" outlineLevel="0" collapsed="false">
      <c r="A3" s="0" t="n">
        <v>2</v>
      </c>
      <c r="B3" s="0" t="s">
        <v>28</v>
      </c>
      <c r="C3" s="2" t="n">
        <v>46054</v>
      </c>
      <c r="D3" s="3" t="s">
        <v>40</v>
      </c>
      <c r="E3" s="3" t="s">
        <v>30</v>
      </c>
      <c r="F3" s="3" t="s">
        <v>31</v>
      </c>
      <c r="G3" s="3" t="s">
        <v>41</v>
      </c>
      <c r="H3" s="0" t="n">
        <v>44</v>
      </c>
      <c r="I3" s="0" t="n">
        <v>3043.96</v>
      </c>
      <c r="J3" s="0" t="n">
        <v>4566.3</v>
      </c>
      <c r="K3" s="2" t="n">
        <v>46053</v>
      </c>
      <c r="L3" s="3" t="s">
        <v>42</v>
      </c>
      <c r="M3" s="2" t="n">
        <v>46053</v>
      </c>
      <c r="N3" s="3" t="s">
        <v>43</v>
      </c>
      <c r="O3" s="2" t="n">
        <v>46054</v>
      </c>
      <c r="P3" s="3" t="s">
        <v>44</v>
      </c>
      <c r="Q3" s="3" t="s">
        <v>45</v>
      </c>
      <c r="R3" s="2" t="n">
        <v>46054</v>
      </c>
      <c r="S3" s="3" t="s">
        <v>46</v>
      </c>
      <c r="T3" s="3" t="s">
        <v>47</v>
      </c>
      <c r="U3" s="3" t="s">
        <v>39</v>
      </c>
      <c r="V3" s="3" t="s">
        <v>39</v>
      </c>
      <c r="W3" s="3" t="s">
        <v>39</v>
      </c>
      <c r="X3" s="0" t="n">
        <v>1.4279</v>
      </c>
      <c r="Y3" s="0" t="n">
        <v>1.5</v>
      </c>
      <c r="Z3" s="0" t="n">
        <v>-0.0721</v>
      </c>
      <c r="AA3" s="0" t="n">
        <v>-1</v>
      </c>
      <c r="AB3" s="0" t="n">
        <v>0</v>
      </c>
    </row>
    <row r="4" customFormat="false" ht="15" hidden="false" customHeight="false" outlineLevel="0" collapsed="false">
      <c r="A4" s="0" t="n">
        <v>3</v>
      </c>
      <c r="B4" s="0" t="s">
        <v>48</v>
      </c>
      <c r="C4" s="2" t="n">
        <v>46054</v>
      </c>
      <c r="D4" s="3" t="s">
        <v>49</v>
      </c>
      <c r="E4" s="3" t="s">
        <v>30</v>
      </c>
      <c r="F4" s="3" t="s">
        <v>31</v>
      </c>
      <c r="G4" s="3" t="s">
        <v>50</v>
      </c>
      <c r="H4" s="0" t="n">
        <v>10</v>
      </c>
      <c r="I4" s="0" t="n">
        <v>2947.21</v>
      </c>
      <c r="J4" s="0" t="n">
        <v>2947.58</v>
      </c>
      <c r="K4" s="2" t="n">
        <v>46053</v>
      </c>
      <c r="L4" s="3" t="s">
        <v>51</v>
      </c>
      <c r="M4" s="2" t="n">
        <v>46053</v>
      </c>
      <c r="N4" s="3" t="s">
        <v>52</v>
      </c>
      <c r="O4" s="2" t="n">
        <v>46054</v>
      </c>
      <c r="P4" s="3" t="s">
        <v>53</v>
      </c>
      <c r="Q4" s="3" t="s">
        <v>54</v>
      </c>
      <c r="R4" s="2" t="n">
        <v>46054</v>
      </c>
      <c r="S4" s="3" t="s">
        <v>55</v>
      </c>
      <c r="T4" s="3" t="s">
        <v>56</v>
      </c>
      <c r="U4" s="3" t="s">
        <v>39</v>
      </c>
      <c r="V4" s="3" t="s">
        <v>39</v>
      </c>
      <c r="W4" s="3" t="s">
        <v>39</v>
      </c>
      <c r="X4" s="0" t="n">
        <v>3.149</v>
      </c>
      <c r="Y4" s="0" t="n">
        <v>1.5</v>
      </c>
      <c r="Z4" s="0" t="n">
        <v>1.649</v>
      </c>
      <c r="AA4" s="0" t="n">
        <v>2</v>
      </c>
      <c r="AB4" s="0" t="n">
        <v>0</v>
      </c>
    </row>
    <row r="5" customFormat="false" ht="15" hidden="false" customHeight="false" outlineLevel="0" collapsed="false">
      <c r="A5" s="0" t="n">
        <v>4</v>
      </c>
      <c r="B5" s="0" t="s">
        <v>48</v>
      </c>
      <c r="C5" s="2" t="n">
        <v>46054</v>
      </c>
      <c r="D5" s="3" t="s">
        <v>57</v>
      </c>
      <c r="E5" s="3" t="s">
        <v>30</v>
      </c>
      <c r="F5" s="3" t="s">
        <v>31</v>
      </c>
      <c r="G5" s="3" t="s">
        <v>58</v>
      </c>
      <c r="H5" s="0" t="n">
        <v>120</v>
      </c>
      <c r="I5" s="0" t="n">
        <v>2000.34</v>
      </c>
      <c r="J5" s="0" t="n">
        <v>2000.81</v>
      </c>
      <c r="K5" s="2" t="n">
        <v>46052</v>
      </c>
      <c r="L5" s="3" t="s">
        <v>59</v>
      </c>
      <c r="M5" s="2" t="n">
        <v>46052</v>
      </c>
      <c r="N5" s="3" t="s">
        <v>60</v>
      </c>
      <c r="O5" s="2" t="n">
        <v>46053</v>
      </c>
      <c r="P5" s="3" t="s">
        <v>61</v>
      </c>
      <c r="Q5" s="3" t="s">
        <v>62</v>
      </c>
      <c r="R5" s="2" t="n">
        <v>46054</v>
      </c>
      <c r="S5" s="3" t="s">
        <v>63</v>
      </c>
      <c r="T5" s="3" t="s">
        <v>64</v>
      </c>
      <c r="U5" s="3" t="s">
        <v>65</v>
      </c>
      <c r="V5" s="3" t="s">
        <v>65</v>
      </c>
      <c r="W5" s="3" t="s">
        <v>65</v>
      </c>
      <c r="X5" s="0" t="n">
        <v>2.739</v>
      </c>
      <c r="Y5" s="0" t="n">
        <v>1.5</v>
      </c>
      <c r="Z5" s="0" t="n">
        <v>1.239</v>
      </c>
      <c r="AA5" s="0" t="n">
        <v>1</v>
      </c>
      <c r="AB5" s="0" t="n">
        <v>0</v>
      </c>
    </row>
    <row r="6" customFormat="false" ht="15" hidden="false" customHeight="false" outlineLevel="0" collapsed="false">
      <c r="A6" s="0" t="n">
        <v>5</v>
      </c>
      <c r="B6" s="0" t="s">
        <v>28</v>
      </c>
      <c r="C6" s="2" t="n">
        <v>46055</v>
      </c>
      <c r="D6" s="3" t="s">
        <v>66</v>
      </c>
      <c r="E6" s="3" t="s">
        <v>67</v>
      </c>
      <c r="F6" s="3" t="s">
        <v>31</v>
      </c>
      <c r="G6" s="3" t="s">
        <v>68</v>
      </c>
      <c r="H6" s="0" t="n">
        <v>85</v>
      </c>
      <c r="I6" s="0" t="n">
        <v>748.65</v>
      </c>
      <c r="J6" s="0" t="n">
        <v>973.36</v>
      </c>
      <c r="K6" s="2" t="n">
        <v>46053</v>
      </c>
      <c r="L6" s="3" t="s">
        <v>69</v>
      </c>
      <c r="M6" s="2" t="n">
        <v>46053</v>
      </c>
      <c r="N6" s="3" t="s">
        <v>70</v>
      </c>
      <c r="O6" s="2" t="n">
        <v>46054</v>
      </c>
      <c r="P6" s="3" t="s">
        <v>71</v>
      </c>
      <c r="Q6" s="3" t="s">
        <v>72</v>
      </c>
      <c r="R6" s="2" t="n">
        <v>46055</v>
      </c>
      <c r="S6" s="3" t="s">
        <v>73</v>
      </c>
      <c r="T6" s="3" t="s">
        <v>38</v>
      </c>
      <c r="U6" s="3" t="s">
        <v>74</v>
      </c>
      <c r="V6" s="3" t="s">
        <v>74</v>
      </c>
      <c r="W6" s="3" t="s">
        <v>74</v>
      </c>
      <c r="X6" s="0" t="n">
        <v>1.4527</v>
      </c>
      <c r="Y6" s="0" t="n">
        <v>1.5</v>
      </c>
      <c r="Z6" s="0" t="n">
        <v>-0.0473</v>
      </c>
      <c r="AA6" s="0" t="n">
        <v>-1</v>
      </c>
      <c r="AB6" s="0" t="n">
        <v>0</v>
      </c>
    </row>
    <row r="7" customFormat="false" ht="15" hidden="false" customHeight="false" outlineLevel="0" collapsed="false">
      <c r="A7" s="0" t="n">
        <v>6</v>
      </c>
      <c r="B7" s="0" t="s">
        <v>28</v>
      </c>
      <c r="C7" s="2" t="n">
        <v>46055</v>
      </c>
      <c r="D7" s="3" t="s">
        <v>75</v>
      </c>
      <c r="E7" s="3" t="s">
        <v>30</v>
      </c>
      <c r="F7" s="3" t="s">
        <v>31</v>
      </c>
      <c r="G7" s="3" t="s">
        <v>76</v>
      </c>
      <c r="H7" s="0" t="n">
        <v>148</v>
      </c>
      <c r="I7" s="0" t="n">
        <v>905.48</v>
      </c>
      <c r="J7" s="0" t="n">
        <v>905.77</v>
      </c>
      <c r="K7" s="2" t="n">
        <v>46052</v>
      </c>
      <c r="L7" s="3" t="s">
        <v>77</v>
      </c>
      <c r="M7" s="2" t="n">
        <v>46052</v>
      </c>
      <c r="N7" s="3" t="s">
        <v>78</v>
      </c>
      <c r="O7" s="2" t="n">
        <v>46052</v>
      </c>
      <c r="P7" s="3" t="s">
        <v>79</v>
      </c>
      <c r="Q7" s="3" t="s">
        <v>80</v>
      </c>
      <c r="R7" s="2" t="n">
        <v>46055</v>
      </c>
      <c r="S7" s="3" t="s">
        <v>81</v>
      </c>
      <c r="T7" s="3" t="s">
        <v>64</v>
      </c>
      <c r="U7" s="3" t="s">
        <v>39</v>
      </c>
      <c r="V7" s="3" t="s">
        <v>39</v>
      </c>
      <c r="W7" s="3" t="s">
        <v>39</v>
      </c>
      <c r="X7" s="0" t="n">
        <v>0.5845</v>
      </c>
      <c r="Y7" s="0" t="n">
        <v>1.5</v>
      </c>
      <c r="Z7" s="0" t="n">
        <v>-0.9155</v>
      </c>
      <c r="AA7" s="0" t="n">
        <v>-1</v>
      </c>
      <c r="AB7" s="0" t="n">
        <v>0</v>
      </c>
    </row>
    <row r="8" customFormat="false" ht="15" hidden="false" customHeight="false" outlineLevel="0" collapsed="false">
      <c r="A8" s="0" t="n">
        <v>7</v>
      </c>
      <c r="B8" s="0" t="s">
        <v>48</v>
      </c>
      <c r="C8" s="2" t="n">
        <v>46055</v>
      </c>
      <c r="D8" s="3" t="s">
        <v>82</v>
      </c>
      <c r="E8" s="3" t="s">
        <v>30</v>
      </c>
      <c r="F8" s="3" t="s">
        <v>31</v>
      </c>
      <c r="G8" s="3" t="s">
        <v>68</v>
      </c>
      <c r="H8" s="0" t="n">
        <v>186</v>
      </c>
      <c r="I8" s="0" t="n">
        <v>1472.3</v>
      </c>
      <c r="J8" s="0" t="n">
        <v>1914.14</v>
      </c>
      <c r="K8" s="2" t="n">
        <v>46053</v>
      </c>
      <c r="L8" s="3" t="s">
        <v>83</v>
      </c>
      <c r="M8" s="2" t="n">
        <v>46053</v>
      </c>
      <c r="N8" s="3" t="s">
        <v>84</v>
      </c>
      <c r="O8" s="2" t="n">
        <v>46054</v>
      </c>
      <c r="P8" s="3" t="s">
        <v>85</v>
      </c>
      <c r="Q8" s="3" t="s">
        <v>86</v>
      </c>
      <c r="R8" s="2" t="n">
        <v>46055</v>
      </c>
      <c r="S8" s="3" t="s">
        <v>87</v>
      </c>
      <c r="T8" s="3" t="s">
        <v>88</v>
      </c>
      <c r="U8" s="3" t="s">
        <v>89</v>
      </c>
      <c r="V8" s="3" t="s">
        <v>89</v>
      </c>
      <c r="W8" s="3" t="s">
        <v>89</v>
      </c>
      <c r="X8" s="0" t="n">
        <v>5.484</v>
      </c>
      <c r="Y8" s="0" t="n">
        <v>1.5</v>
      </c>
      <c r="Z8" s="0" t="n">
        <v>3.984</v>
      </c>
      <c r="AA8" s="0" t="n">
        <v>4</v>
      </c>
      <c r="AB8" s="0" t="n">
        <v>0</v>
      </c>
    </row>
    <row r="9" customFormat="false" ht="15" hidden="false" customHeight="false" outlineLevel="0" collapsed="false">
      <c r="A9" s="0" t="n">
        <v>8</v>
      </c>
      <c r="B9" s="0" t="s">
        <v>48</v>
      </c>
      <c r="C9" s="2" t="n">
        <v>46055</v>
      </c>
      <c r="D9" s="3" t="s">
        <v>90</v>
      </c>
      <c r="E9" s="3" t="s">
        <v>30</v>
      </c>
      <c r="F9" s="3" t="s">
        <v>31</v>
      </c>
      <c r="G9" s="3" t="s">
        <v>58</v>
      </c>
      <c r="H9" s="0" t="n">
        <v>81</v>
      </c>
      <c r="I9" s="0" t="n">
        <v>1416.57</v>
      </c>
      <c r="J9" s="0" t="n">
        <v>1841.82</v>
      </c>
      <c r="K9" s="2" t="n">
        <v>46053</v>
      </c>
      <c r="L9" s="3" t="s">
        <v>91</v>
      </c>
      <c r="M9" s="2" t="n">
        <v>46053</v>
      </c>
      <c r="N9" s="3" t="s">
        <v>92</v>
      </c>
      <c r="O9" s="2" t="n">
        <v>46054</v>
      </c>
      <c r="P9" s="3" t="s">
        <v>93</v>
      </c>
      <c r="Q9" s="3" t="s">
        <v>94</v>
      </c>
      <c r="R9" s="2" t="n">
        <v>46055</v>
      </c>
      <c r="S9" s="3" t="s">
        <v>95</v>
      </c>
      <c r="T9" s="3" t="s">
        <v>96</v>
      </c>
      <c r="U9" s="3" t="s">
        <v>89</v>
      </c>
      <c r="V9" s="3" t="s">
        <v>89</v>
      </c>
      <c r="W9" s="3" t="s">
        <v>89</v>
      </c>
      <c r="X9" s="0" t="n">
        <v>0.3795</v>
      </c>
      <c r="Y9" s="0" t="n">
        <v>1.5</v>
      </c>
      <c r="Z9" s="0" t="n">
        <v>-1.1205</v>
      </c>
      <c r="AA9" s="0" t="n">
        <v>-1</v>
      </c>
      <c r="AB9" s="0" t="n">
        <v>0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2" t="n">
        <v>46056</v>
      </c>
      <c r="D10" s="3" t="s">
        <v>97</v>
      </c>
      <c r="E10" s="3" t="s">
        <v>30</v>
      </c>
      <c r="F10" s="3" t="s">
        <v>31</v>
      </c>
      <c r="G10" s="3" t="s">
        <v>98</v>
      </c>
      <c r="H10" s="0" t="n">
        <v>184</v>
      </c>
      <c r="I10" s="0" t="n">
        <v>2660.62</v>
      </c>
      <c r="J10" s="0" t="n">
        <v>3991.04</v>
      </c>
      <c r="K10" s="2" t="n">
        <v>46054</v>
      </c>
      <c r="L10" s="3" t="s">
        <v>99</v>
      </c>
      <c r="M10" s="2" t="n">
        <v>46054</v>
      </c>
      <c r="N10" s="3" t="s">
        <v>100</v>
      </c>
      <c r="O10" s="2" t="n">
        <v>46054</v>
      </c>
      <c r="P10" s="3" t="s">
        <v>101</v>
      </c>
      <c r="Q10" s="3" t="s">
        <v>102</v>
      </c>
      <c r="R10" s="2" t="n">
        <v>46056</v>
      </c>
      <c r="S10" s="3" t="s">
        <v>103</v>
      </c>
      <c r="T10" s="3" t="s">
        <v>104</v>
      </c>
      <c r="U10" s="3" t="s">
        <v>39</v>
      </c>
      <c r="V10" s="3" t="s">
        <v>39</v>
      </c>
      <c r="W10" s="3" t="s">
        <v>39</v>
      </c>
      <c r="X10" s="0" t="n">
        <v>3.86</v>
      </c>
      <c r="Y10" s="0" t="n">
        <v>1.5</v>
      </c>
      <c r="Z10" s="0" t="n">
        <v>2.36</v>
      </c>
      <c r="AA10" s="0" t="n">
        <v>2</v>
      </c>
      <c r="AB10" s="0" t="n">
        <v>0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2" t="n">
        <v>46056</v>
      </c>
      <c r="D11" s="3" t="s">
        <v>105</v>
      </c>
      <c r="E11" s="3" t="s">
        <v>30</v>
      </c>
      <c r="F11" s="3" t="s">
        <v>31</v>
      </c>
      <c r="G11" s="3" t="s">
        <v>106</v>
      </c>
      <c r="H11" s="0" t="n">
        <v>143</v>
      </c>
      <c r="I11" s="0" t="n">
        <v>818.86</v>
      </c>
      <c r="J11" s="0" t="n">
        <v>1064.59</v>
      </c>
      <c r="K11" s="2" t="n">
        <v>46053</v>
      </c>
      <c r="L11" s="3" t="s">
        <v>107</v>
      </c>
      <c r="M11" s="2" t="n">
        <v>46053</v>
      </c>
      <c r="N11" s="3" t="s">
        <v>108</v>
      </c>
      <c r="O11" s="2" t="n">
        <v>46054</v>
      </c>
      <c r="P11" s="3" t="s">
        <v>55</v>
      </c>
      <c r="Q11" s="3" t="s">
        <v>109</v>
      </c>
      <c r="R11" s="2" t="n">
        <v>46056</v>
      </c>
      <c r="S11" s="3" t="s">
        <v>110</v>
      </c>
      <c r="T11" s="3" t="s">
        <v>111</v>
      </c>
      <c r="U11" s="3" t="s">
        <v>39</v>
      </c>
      <c r="V11" s="3" t="s">
        <v>39</v>
      </c>
      <c r="W11" s="3" t="s">
        <v>39</v>
      </c>
      <c r="X11" s="0" t="n">
        <v>4.2667</v>
      </c>
      <c r="Y11" s="0" t="n">
        <v>1.5</v>
      </c>
      <c r="Z11" s="0" t="n">
        <v>2.7667</v>
      </c>
      <c r="AA11" s="0" t="n">
        <v>3</v>
      </c>
      <c r="AB11" s="0" t="n">
        <v>0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2" t="n">
        <v>46056</v>
      </c>
      <c r="D12" s="3" t="s">
        <v>112</v>
      </c>
      <c r="E12" s="3" t="s">
        <v>67</v>
      </c>
      <c r="F12" s="3" t="s">
        <v>31</v>
      </c>
      <c r="G12" s="3" t="s">
        <v>68</v>
      </c>
      <c r="H12" s="0" t="n">
        <v>216</v>
      </c>
      <c r="I12" s="0" t="n">
        <v>2056.92</v>
      </c>
      <c r="J12" s="0" t="n">
        <v>2057.24</v>
      </c>
      <c r="K12" s="2" t="n">
        <v>46055</v>
      </c>
      <c r="L12" s="3" t="s">
        <v>113</v>
      </c>
      <c r="M12" s="2" t="n">
        <v>46056</v>
      </c>
      <c r="N12" s="3" t="s">
        <v>114</v>
      </c>
      <c r="O12" s="2" t="n">
        <v>46056</v>
      </c>
      <c r="P12" s="3" t="s">
        <v>115</v>
      </c>
      <c r="Q12" s="3" t="s">
        <v>116</v>
      </c>
      <c r="R12" s="2" t="n">
        <v>46056</v>
      </c>
      <c r="S12" s="3" t="s">
        <v>117</v>
      </c>
      <c r="T12" s="3" t="s">
        <v>88</v>
      </c>
      <c r="U12" s="3" t="s">
        <v>39</v>
      </c>
      <c r="V12" s="3" t="s">
        <v>39</v>
      </c>
      <c r="W12" s="3" t="s">
        <v>39</v>
      </c>
      <c r="X12" s="0" t="n">
        <v>2.6472</v>
      </c>
      <c r="Y12" s="0" t="n">
        <v>1.5</v>
      </c>
      <c r="Z12" s="0" t="n">
        <v>1.1472</v>
      </c>
      <c r="AA12" s="0" t="n">
        <v>1</v>
      </c>
      <c r="AB12" s="0" t="n">
        <v>0</v>
      </c>
    </row>
    <row r="13" customFormat="false" ht="15" hidden="false" customHeight="false" outlineLevel="0" collapsed="false">
      <c r="A13" s="0" t="n">
        <v>12</v>
      </c>
      <c r="B13" s="0" t="s">
        <v>48</v>
      </c>
      <c r="C13" s="2" t="n">
        <v>46056</v>
      </c>
      <c r="D13" s="3" t="s">
        <v>118</v>
      </c>
      <c r="E13" s="3" t="s">
        <v>30</v>
      </c>
      <c r="F13" s="3" t="s">
        <v>31</v>
      </c>
      <c r="G13" s="3" t="s">
        <v>76</v>
      </c>
      <c r="H13" s="0" t="n">
        <v>21</v>
      </c>
      <c r="I13" s="0" t="n">
        <v>2136.44</v>
      </c>
      <c r="J13" s="0" t="n">
        <v>2136.46</v>
      </c>
      <c r="K13" s="2" t="n">
        <v>46053</v>
      </c>
      <c r="L13" s="3" t="s">
        <v>119</v>
      </c>
      <c r="M13" s="2" t="n">
        <v>46053</v>
      </c>
      <c r="N13" s="3" t="s">
        <v>120</v>
      </c>
      <c r="O13" s="2" t="n">
        <v>46053</v>
      </c>
      <c r="P13" s="3" t="s">
        <v>121</v>
      </c>
      <c r="Q13" s="3" t="s">
        <v>122</v>
      </c>
      <c r="R13" s="2" t="n">
        <v>46056</v>
      </c>
      <c r="S13" s="3" t="s">
        <v>123</v>
      </c>
      <c r="T13" s="3" t="s">
        <v>124</v>
      </c>
      <c r="U13" s="3" t="s">
        <v>39</v>
      </c>
      <c r="V13" s="3" t="s">
        <v>39</v>
      </c>
      <c r="W13" s="3" t="s">
        <v>39</v>
      </c>
      <c r="X13" s="0" t="n">
        <v>2.7034</v>
      </c>
      <c r="Y13" s="0" t="n">
        <v>1.5</v>
      </c>
      <c r="Z13" s="0" t="n">
        <v>1.2034</v>
      </c>
      <c r="AA13" s="0" t="n">
        <v>1</v>
      </c>
      <c r="AB13" s="0" t="n">
        <v>0</v>
      </c>
    </row>
    <row r="14" customFormat="false" ht="15" hidden="false" customHeight="false" outlineLevel="0" collapsed="false">
      <c r="A14" s="0" t="n">
        <v>13</v>
      </c>
      <c r="B14" s="0" t="s">
        <v>48</v>
      </c>
      <c r="C14" s="2" t="n">
        <v>46056</v>
      </c>
      <c r="D14" s="3" t="s">
        <v>125</v>
      </c>
      <c r="E14" s="3" t="s">
        <v>30</v>
      </c>
      <c r="F14" s="3" t="s">
        <v>31</v>
      </c>
      <c r="G14" s="3" t="s">
        <v>50</v>
      </c>
      <c r="H14" s="0" t="n">
        <v>135</v>
      </c>
      <c r="I14" s="0" t="n">
        <v>1128.35</v>
      </c>
      <c r="J14" s="0" t="n">
        <v>1128.58</v>
      </c>
      <c r="K14" s="2" t="n">
        <v>46054</v>
      </c>
      <c r="L14" s="3" t="s">
        <v>126</v>
      </c>
      <c r="M14" s="2" t="n">
        <v>46054</v>
      </c>
      <c r="N14" s="3" t="s">
        <v>127</v>
      </c>
      <c r="O14" s="2" t="n">
        <v>46055</v>
      </c>
      <c r="P14" s="3" t="s">
        <v>128</v>
      </c>
      <c r="Q14" s="3" t="s">
        <v>129</v>
      </c>
      <c r="R14" s="2" t="n">
        <v>46056</v>
      </c>
      <c r="S14" s="3" t="s">
        <v>130</v>
      </c>
      <c r="T14" s="3" t="s">
        <v>131</v>
      </c>
      <c r="U14" s="3" t="s">
        <v>39</v>
      </c>
      <c r="V14" s="3" t="s">
        <v>39</v>
      </c>
      <c r="W14" s="3" t="s">
        <v>39</v>
      </c>
      <c r="X14" s="0" t="n">
        <v>3.2464</v>
      </c>
      <c r="Y14" s="0" t="n">
        <v>1.5</v>
      </c>
      <c r="Z14" s="0" t="n">
        <v>1.7464</v>
      </c>
      <c r="AA14" s="0" t="n">
        <v>2</v>
      </c>
      <c r="AB14" s="0" t="n">
        <v>0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2" t="n">
        <v>46057</v>
      </c>
      <c r="D15" s="3" t="s">
        <v>132</v>
      </c>
      <c r="E15" s="3" t="s">
        <v>30</v>
      </c>
      <c r="F15" s="3" t="s">
        <v>31</v>
      </c>
      <c r="G15" s="3" t="s">
        <v>41</v>
      </c>
      <c r="H15" s="0" t="n">
        <v>156</v>
      </c>
      <c r="I15" s="0" t="n">
        <v>2633.27</v>
      </c>
      <c r="J15" s="0" t="n">
        <v>2633.72</v>
      </c>
      <c r="K15" s="2" t="n">
        <v>46054</v>
      </c>
      <c r="L15" s="3" t="s">
        <v>133</v>
      </c>
      <c r="M15" s="2" t="n">
        <v>46055</v>
      </c>
      <c r="N15" s="3" t="s">
        <v>134</v>
      </c>
      <c r="O15" s="2" t="n">
        <v>46055</v>
      </c>
      <c r="P15" s="3" t="s">
        <v>135</v>
      </c>
      <c r="Q15" s="3" t="s">
        <v>136</v>
      </c>
      <c r="R15" s="2" t="n">
        <v>46057</v>
      </c>
      <c r="S15" s="3" t="s">
        <v>137</v>
      </c>
      <c r="T15" s="3" t="s">
        <v>88</v>
      </c>
      <c r="U15" s="3" t="s">
        <v>138</v>
      </c>
      <c r="V15" s="3" t="s">
        <v>138</v>
      </c>
      <c r="W15" s="3" t="s">
        <v>138</v>
      </c>
      <c r="X15" s="0" t="n">
        <v>3.0512</v>
      </c>
      <c r="Y15" s="0" t="n">
        <v>1.5</v>
      </c>
      <c r="Z15" s="0" t="n">
        <v>1.5512</v>
      </c>
      <c r="AA15" s="0" t="n">
        <v>2</v>
      </c>
      <c r="AB15" s="0" t="n">
        <v>0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2" t="n">
        <v>46057</v>
      </c>
      <c r="D16" s="3" t="s">
        <v>139</v>
      </c>
      <c r="E16" s="3" t="s">
        <v>67</v>
      </c>
      <c r="F16" s="3" t="s">
        <v>31</v>
      </c>
      <c r="G16" s="3" t="s">
        <v>140</v>
      </c>
      <c r="H16" s="0" t="n">
        <v>6</v>
      </c>
      <c r="I16" s="0" t="n">
        <v>2590.9</v>
      </c>
      <c r="J16" s="0" t="n">
        <v>2591.12</v>
      </c>
      <c r="K16" s="2" t="n">
        <v>46055</v>
      </c>
      <c r="L16" s="3" t="s">
        <v>141</v>
      </c>
      <c r="M16" s="2" t="n">
        <v>46055</v>
      </c>
      <c r="N16" s="3" t="s">
        <v>142</v>
      </c>
      <c r="O16" s="2" t="n">
        <v>46056</v>
      </c>
      <c r="P16" s="3" t="s">
        <v>143</v>
      </c>
      <c r="Q16" s="3" t="s">
        <v>144</v>
      </c>
      <c r="R16" s="2" t="n">
        <v>46057</v>
      </c>
      <c r="S16" s="3" t="s">
        <v>145</v>
      </c>
      <c r="T16" s="3" t="s">
        <v>146</v>
      </c>
      <c r="U16" s="3" t="s">
        <v>39</v>
      </c>
      <c r="V16" s="3" t="s">
        <v>39</v>
      </c>
      <c r="W16" s="3" t="s">
        <v>39</v>
      </c>
      <c r="X16" s="0" t="n">
        <v>3.4688</v>
      </c>
      <c r="Y16" s="0" t="n">
        <v>1.5</v>
      </c>
      <c r="Z16" s="0" t="n">
        <v>1.9688</v>
      </c>
      <c r="AA16" s="0" t="n">
        <v>2</v>
      </c>
      <c r="AB16" s="0" t="n">
        <v>0</v>
      </c>
    </row>
    <row r="17" customFormat="false" ht="15" hidden="false" customHeight="false" outlineLevel="0" collapsed="false">
      <c r="A17" s="0" t="n">
        <v>16</v>
      </c>
      <c r="B17" s="0" t="s">
        <v>48</v>
      </c>
      <c r="C17" s="2" t="n">
        <v>46057</v>
      </c>
      <c r="D17" s="3" t="s">
        <v>147</v>
      </c>
      <c r="E17" s="3" t="s">
        <v>30</v>
      </c>
      <c r="F17" s="3" t="s">
        <v>31</v>
      </c>
      <c r="G17" s="3" t="s">
        <v>76</v>
      </c>
      <c r="H17" s="0" t="n">
        <v>37</v>
      </c>
      <c r="I17" s="0" t="n">
        <v>2472.85</v>
      </c>
      <c r="J17" s="0" t="n">
        <v>2472.88</v>
      </c>
      <c r="K17" s="2" t="n">
        <v>46054</v>
      </c>
      <c r="L17" s="3" t="s">
        <v>148</v>
      </c>
      <c r="M17" s="2" t="n">
        <v>46054</v>
      </c>
      <c r="N17" s="3" t="s">
        <v>149</v>
      </c>
      <c r="O17" s="2" t="n">
        <v>46055</v>
      </c>
      <c r="P17" s="3" t="s">
        <v>150</v>
      </c>
      <c r="Q17" s="3" t="s">
        <v>151</v>
      </c>
      <c r="R17" s="2" t="n">
        <v>46057</v>
      </c>
      <c r="S17" s="3" t="s">
        <v>152</v>
      </c>
      <c r="T17" s="3" t="s">
        <v>153</v>
      </c>
      <c r="U17" s="3" t="s">
        <v>39</v>
      </c>
      <c r="V17" s="3" t="s">
        <v>39</v>
      </c>
      <c r="W17" s="3" t="s">
        <v>39</v>
      </c>
      <c r="X17" s="0" t="n">
        <v>2.0965</v>
      </c>
      <c r="Y17" s="0" t="n">
        <v>1.5</v>
      </c>
      <c r="Z17" s="0" t="n">
        <v>0.5965</v>
      </c>
      <c r="AA17" s="0" t="n">
        <v>1</v>
      </c>
      <c r="AB17" s="0" t="n">
        <v>0</v>
      </c>
    </row>
    <row r="18" customFormat="false" ht="15" hidden="false" customHeight="false" outlineLevel="0" collapsed="false">
      <c r="A18" s="0" t="n">
        <v>17</v>
      </c>
      <c r="B18" s="0" t="s">
        <v>28</v>
      </c>
      <c r="C18" s="2" t="n">
        <v>46058</v>
      </c>
      <c r="D18" s="3" t="s">
        <v>154</v>
      </c>
      <c r="E18" s="3" t="s">
        <v>30</v>
      </c>
      <c r="F18" s="3" t="s">
        <v>31</v>
      </c>
      <c r="G18" s="3" t="s">
        <v>50</v>
      </c>
      <c r="H18" s="0" t="n">
        <v>130</v>
      </c>
      <c r="I18" s="0" t="n">
        <v>2689.59</v>
      </c>
      <c r="J18" s="0" t="n">
        <v>3496.72</v>
      </c>
      <c r="K18" s="2" t="n">
        <v>46055</v>
      </c>
      <c r="L18" s="3" t="s">
        <v>155</v>
      </c>
      <c r="M18" s="2" t="n">
        <v>46055</v>
      </c>
      <c r="N18" s="3" t="s">
        <v>156</v>
      </c>
      <c r="O18" s="2" t="n">
        <v>46055</v>
      </c>
      <c r="P18" s="3" t="s">
        <v>157</v>
      </c>
      <c r="Q18" s="3" t="s">
        <v>158</v>
      </c>
      <c r="R18" s="2" t="n">
        <v>46058</v>
      </c>
      <c r="S18" s="3" t="s">
        <v>137</v>
      </c>
      <c r="T18" s="3" t="s">
        <v>159</v>
      </c>
      <c r="U18" s="3" t="s">
        <v>39</v>
      </c>
      <c r="V18" s="3" t="s">
        <v>39</v>
      </c>
      <c r="W18" s="3" t="s">
        <v>39</v>
      </c>
      <c r="X18" s="0" t="n">
        <v>3.5765</v>
      </c>
      <c r="Y18" s="0" t="n">
        <v>1.5</v>
      </c>
      <c r="Z18" s="0" t="n">
        <v>2.0765</v>
      </c>
      <c r="AA18" s="0" t="n">
        <v>2</v>
      </c>
      <c r="AB18" s="0" t="n">
        <v>0</v>
      </c>
    </row>
    <row r="19" customFormat="false" ht="15" hidden="false" customHeight="false" outlineLevel="0" collapsed="false">
      <c r="A19" s="0" t="n">
        <v>18</v>
      </c>
      <c r="B19" s="0" t="s">
        <v>48</v>
      </c>
      <c r="C19" s="2" t="n">
        <v>46058</v>
      </c>
      <c r="D19" s="3" t="s">
        <v>160</v>
      </c>
      <c r="E19" s="3" t="s">
        <v>30</v>
      </c>
      <c r="F19" s="3" t="s">
        <v>31</v>
      </c>
      <c r="G19" s="3" t="s">
        <v>50</v>
      </c>
      <c r="H19" s="0" t="n">
        <v>128</v>
      </c>
      <c r="I19" s="0" t="n">
        <v>3048.01</v>
      </c>
      <c r="J19" s="0" t="n">
        <v>3048.12</v>
      </c>
      <c r="K19" s="2" t="n">
        <v>46056</v>
      </c>
      <c r="L19" s="3" t="s">
        <v>161</v>
      </c>
      <c r="M19" s="2" t="n">
        <v>46056</v>
      </c>
      <c r="N19" s="3" t="s">
        <v>162</v>
      </c>
      <c r="O19" s="2" t="n">
        <v>46057</v>
      </c>
      <c r="P19" s="3" t="s">
        <v>163</v>
      </c>
      <c r="Q19" s="3" t="s">
        <v>164</v>
      </c>
      <c r="R19" s="2" t="n">
        <v>46058</v>
      </c>
      <c r="S19" s="3" t="s">
        <v>165</v>
      </c>
      <c r="T19" s="3" t="s">
        <v>159</v>
      </c>
      <c r="U19" s="3" t="s">
        <v>39</v>
      </c>
      <c r="V19" s="3" t="s">
        <v>39</v>
      </c>
      <c r="W19" s="3" t="s">
        <v>39</v>
      </c>
      <c r="X19" s="0" t="n">
        <v>0.22</v>
      </c>
      <c r="Y19" s="0" t="n">
        <v>1.5</v>
      </c>
      <c r="Z19" s="0" t="n">
        <v>-1.28</v>
      </c>
      <c r="AA19" s="0" t="n">
        <v>-1</v>
      </c>
      <c r="AB19" s="0" t="n">
        <v>0</v>
      </c>
    </row>
    <row r="20" customFormat="false" ht="15" hidden="false" customHeight="false" outlineLevel="0" collapsed="false">
      <c r="A20" s="0" t="n">
        <v>19</v>
      </c>
      <c r="B20" s="0" t="s">
        <v>48</v>
      </c>
      <c r="C20" s="2" t="n">
        <v>46058</v>
      </c>
      <c r="D20" s="3" t="s">
        <v>166</v>
      </c>
      <c r="E20" s="3" t="s">
        <v>30</v>
      </c>
      <c r="F20" s="3" t="s">
        <v>31</v>
      </c>
      <c r="G20" s="3" t="s">
        <v>58</v>
      </c>
      <c r="H20" s="0" t="n">
        <v>139</v>
      </c>
      <c r="I20" s="0" t="n">
        <v>36.02</v>
      </c>
      <c r="J20" s="0" t="n">
        <v>36.36</v>
      </c>
      <c r="K20" s="2" t="n">
        <v>46055</v>
      </c>
      <c r="L20" s="3" t="s">
        <v>167</v>
      </c>
      <c r="M20" s="2" t="n">
        <v>46055</v>
      </c>
      <c r="N20" s="3" t="s">
        <v>168</v>
      </c>
      <c r="O20" s="2" t="n">
        <v>46056</v>
      </c>
      <c r="P20" s="3" t="s">
        <v>169</v>
      </c>
      <c r="Q20" s="3" t="s">
        <v>170</v>
      </c>
      <c r="R20" s="2" t="n">
        <v>46058</v>
      </c>
      <c r="S20" s="3" t="s">
        <v>171</v>
      </c>
      <c r="T20" s="3" t="s">
        <v>124</v>
      </c>
      <c r="U20" s="3" t="s">
        <v>39</v>
      </c>
      <c r="V20" s="3" t="s">
        <v>39</v>
      </c>
      <c r="W20" s="3" t="s">
        <v>39</v>
      </c>
      <c r="X20" s="0" t="n">
        <v>1.5174</v>
      </c>
      <c r="Y20" s="0" t="n">
        <v>1.5</v>
      </c>
      <c r="Z20" s="0" t="n">
        <v>0.0174</v>
      </c>
      <c r="AA20" s="0" t="n">
        <v>1</v>
      </c>
      <c r="AB20" s="0" t="n">
        <v>0</v>
      </c>
    </row>
    <row r="21" customFormat="false" ht="15" hidden="false" customHeight="false" outlineLevel="0" collapsed="false">
      <c r="A21" s="0" t="n">
        <v>20</v>
      </c>
      <c r="B21" s="0" t="s">
        <v>28</v>
      </c>
      <c r="C21" s="2" t="n">
        <v>46059</v>
      </c>
      <c r="D21" s="3" t="s">
        <v>172</v>
      </c>
      <c r="E21" s="3" t="s">
        <v>30</v>
      </c>
      <c r="F21" s="3" t="s">
        <v>31</v>
      </c>
      <c r="G21" s="3" t="s">
        <v>50</v>
      </c>
      <c r="H21" s="0" t="n">
        <v>206</v>
      </c>
      <c r="I21" s="0" t="n">
        <v>1016.42</v>
      </c>
      <c r="J21" s="0" t="n">
        <v>1524.95</v>
      </c>
      <c r="K21" s="2" t="n">
        <v>46057</v>
      </c>
      <c r="L21" s="3" t="s">
        <v>173</v>
      </c>
      <c r="M21" s="2" t="n">
        <v>46057</v>
      </c>
      <c r="N21" s="3" t="s">
        <v>174</v>
      </c>
      <c r="O21" s="2" t="n">
        <v>46058</v>
      </c>
      <c r="P21" s="3" t="s">
        <v>175</v>
      </c>
      <c r="Q21" s="3" t="s">
        <v>176</v>
      </c>
      <c r="R21" s="2" t="n">
        <v>46059</v>
      </c>
      <c r="S21" s="3" t="s">
        <v>177</v>
      </c>
      <c r="T21" s="3" t="s">
        <v>96</v>
      </c>
      <c r="U21" s="3" t="s">
        <v>39</v>
      </c>
      <c r="V21" s="3" t="s">
        <v>39</v>
      </c>
      <c r="W21" s="3" t="s">
        <v>39</v>
      </c>
      <c r="X21" s="0" t="n">
        <v>0.9538</v>
      </c>
      <c r="Y21" s="0" t="n">
        <v>1.5</v>
      </c>
      <c r="Z21" s="0" t="n">
        <v>-0.5462</v>
      </c>
      <c r="AA21" s="0" t="n">
        <v>-1</v>
      </c>
      <c r="AB21" s="0" t="n">
        <v>0</v>
      </c>
    </row>
    <row r="22" customFormat="false" ht="15" hidden="false" customHeight="false" outlineLevel="0" collapsed="false">
      <c r="A22" s="0" t="n">
        <v>21</v>
      </c>
      <c r="B22" s="0" t="s">
        <v>28</v>
      </c>
      <c r="C22" s="2" t="n">
        <v>46059</v>
      </c>
      <c r="D22" s="3" t="s">
        <v>178</v>
      </c>
      <c r="E22" s="3" t="s">
        <v>30</v>
      </c>
      <c r="F22" s="3" t="s">
        <v>31</v>
      </c>
      <c r="G22" s="3" t="s">
        <v>50</v>
      </c>
      <c r="H22" s="0" t="n">
        <v>25</v>
      </c>
      <c r="I22" s="0" t="n">
        <v>417.3</v>
      </c>
      <c r="J22" s="0" t="n">
        <v>542.89</v>
      </c>
      <c r="K22" s="2" t="n">
        <v>46057</v>
      </c>
      <c r="L22" s="3" t="s">
        <v>179</v>
      </c>
      <c r="M22" s="2" t="n">
        <v>46057</v>
      </c>
      <c r="N22" s="3" t="s">
        <v>180</v>
      </c>
      <c r="O22" s="2" t="n">
        <v>46057</v>
      </c>
      <c r="P22" s="3" t="s">
        <v>107</v>
      </c>
      <c r="Q22" s="3" t="s">
        <v>181</v>
      </c>
      <c r="R22" s="2" t="n">
        <v>46059</v>
      </c>
      <c r="S22" s="3" t="s">
        <v>182</v>
      </c>
      <c r="T22" s="3" t="s">
        <v>96</v>
      </c>
      <c r="U22" s="3" t="s">
        <v>183</v>
      </c>
      <c r="V22" s="3" t="s">
        <v>183</v>
      </c>
      <c r="W22" s="3" t="s">
        <v>183</v>
      </c>
      <c r="X22" s="0" t="n">
        <v>2.1552</v>
      </c>
      <c r="Y22" s="0" t="n">
        <v>1.5</v>
      </c>
      <c r="Z22" s="0" t="n">
        <v>0.6552</v>
      </c>
      <c r="AA22" s="0" t="n">
        <v>1</v>
      </c>
      <c r="AB22" s="0" t="n">
        <v>0</v>
      </c>
    </row>
    <row r="23" customFormat="false" ht="15" hidden="false" customHeight="false" outlineLevel="0" collapsed="false">
      <c r="A23" s="0" t="n">
        <v>22</v>
      </c>
      <c r="B23" s="0" t="s">
        <v>28</v>
      </c>
      <c r="C23" s="2" t="n">
        <v>46059</v>
      </c>
      <c r="D23" s="3" t="s">
        <v>184</v>
      </c>
      <c r="E23" s="3" t="s">
        <v>67</v>
      </c>
      <c r="F23" s="3" t="s">
        <v>31</v>
      </c>
      <c r="G23" s="3" t="s">
        <v>98</v>
      </c>
      <c r="H23" s="0" t="n">
        <v>203</v>
      </c>
      <c r="I23" s="0" t="n">
        <v>836.91</v>
      </c>
      <c r="J23" s="0" t="n">
        <v>1088.35</v>
      </c>
      <c r="K23" s="2" t="n">
        <v>46057</v>
      </c>
      <c r="L23" s="3" t="s">
        <v>185</v>
      </c>
      <c r="M23" s="2" t="n">
        <v>46057</v>
      </c>
      <c r="N23" s="3" t="s">
        <v>186</v>
      </c>
      <c r="O23" s="2" t="n">
        <v>46058</v>
      </c>
      <c r="P23" s="3" t="s">
        <v>187</v>
      </c>
      <c r="Q23" s="3" t="s">
        <v>188</v>
      </c>
      <c r="R23" s="2" t="n">
        <v>46059</v>
      </c>
      <c r="S23" s="3" t="s">
        <v>189</v>
      </c>
      <c r="T23" s="3" t="s">
        <v>88</v>
      </c>
      <c r="U23" s="3" t="s">
        <v>74</v>
      </c>
      <c r="V23" s="3" t="s">
        <v>74</v>
      </c>
      <c r="W23" s="3" t="s">
        <v>74</v>
      </c>
      <c r="X23" s="0" t="n">
        <v>0.678</v>
      </c>
      <c r="Y23" s="0" t="n">
        <v>1.5</v>
      </c>
      <c r="Z23" s="0" t="n">
        <v>-0.822</v>
      </c>
      <c r="AA23" s="0" t="n">
        <v>-1</v>
      </c>
      <c r="AB23" s="0" t="n">
        <v>0</v>
      </c>
    </row>
    <row r="24" customFormat="false" ht="15" hidden="false" customHeight="false" outlineLevel="0" collapsed="false">
      <c r="A24" s="0" t="n">
        <v>23</v>
      </c>
      <c r="B24" s="0" t="s">
        <v>28</v>
      </c>
      <c r="C24" s="2" t="n">
        <v>46059</v>
      </c>
      <c r="D24" s="3" t="s">
        <v>190</v>
      </c>
      <c r="E24" s="3" t="s">
        <v>30</v>
      </c>
      <c r="F24" s="3" t="s">
        <v>31</v>
      </c>
      <c r="G24" s="3" t="s">
        <v>58</v>
      </c>
      <c r="H24" s="0" t="n">
        <v>176</v>
      </c>
      <c r="I24" s="0" t="n">
        <v>2678.09</v>
      </c>
      <c r="J24" s="0" t="n">
        <v>2946.33</v>
      </c>
      <c r="K24" s="2" t="n">
        <v>46056</v>
      </c>
      <c r="L24" s="3" t="s">
        <v>191</v>
      </c>
      <c r="M24" s="2" t="n">
        <v>46056</v>
      </c>
      <c r="N24" s="3" t="s">
        <v>192</v>
      </c>
      <c r="O24" s="2" t="n">
        <v>46057</v>
      </c>
      <c r="P24" s="3" t="s">
        <v>193</v>
      </c>
      <c r="Q24" s="3" t="s">
        <v>194</v>
      </c>
      <c r="R24" s="2" t="n">
        <v>46059</v>
      </c>
      <c r="S24" s="3" t="s">
        <v>195</v>
      </c>
      <c r="T24" s="3" t="s">
        <v>111</v>
      </c>
      <c r="U24" s="3" t="s">
        <v>39</v>
      </c>
      <c r="V24" s="3" t="s">
        <v>39</v>
      </c>
      <c r="W24" s="3" t="s">
        <v>39</v>
      </c>
      <c r="X24" s="0" t="n">
        <v>1.5903</v>
      </c>
      <c r="Y24" s="0" t="n">
        <v>1.5</v>
      </c>
      <c r="Z24" s="0" t="n">
        <v>0.0903</v>
      </c>
      <c r="AA24" s="0" t="n">
        <v>1</v>
      </c>
      <c r="AB24" s="0" t="n">
        <v>0</v>
      </c>
    </row>
    <row r="25" customFormat="false" ht="15" hidden="false" customHeight="false" outlineLevel="0" collapsed="false">
      <c r="A25" s="0" t="n">
        <v>24</v>
      </c>
      <c r="B25" s="0" t="s">
        <v>28</v>
      </c>
      <c r="C25" s="2" t="n">
        <v>46060</v>
      </c>
      <c r="D25" s="3" t="s">
        <v>196</v>
      </c>
      <c r="E25" s="3" t="s">
        <v>30</v>
      </c>
      <c r="F25" s="3" t="s">
        <v>31</v>
      </c>
      <c r="G25" s="3" t="s">
        <v>68</v>
      </c>
      <c r="H25" s="0" t="n">
        <v>35</v>
      </c>
      <c r="I25" s="0" t="n">
        <v>2445.15</v>
      </c>
      <c r="J25" s="0" t="n">
        <v>2445.3</v>
      </c>
      <c r="K25" s="2" t="n">
        <v>46057</v>
      </c>
      <c r="L25" s="3" t="s">
        <v>197</v>
      </c>
      <c r="M25" s="2" t="n">
        <v>46057</v>
      </c>
      <c r="N25" s="3" t="s">
        <v>195</v>
      </c>
      <c r="O25" s="2" t="n">
        <v>46057</v>
      </c>
      <c r="P25" s="3" t="s">
        <v>198</v>
      </c>
      <c r="Q25" s="3" t="s">
        <v>199</v>
      </c>
      <c r="R25" s="2" t="n">
        <v>46060</v>
      </c>
      <c r="S25" s="3" t="s">
        <v>200</v>
      </c>
      <c r="T25" s="3" t="s">
        <v>201</v>
      </c>
      <c r="U25" s="3" t="s">
        <v>138</v>
      </c>
      <c r="V25" s="3" t="s">
        <v>138</v>
      </c>
      <c r="W25" s="3" t="s">
        <v>138</v>
      </c>
      <c r="X25" s="0" t="n">
        <v>1.7686</v>
      </c>
      <c r="Y25" s="0" t="n">
        <v>1.5</v>
      </c>
      <c r="Z25" s="0" t="n">
        <v>0.2686</v>
      </c>
      <c r="AA25" s="0" t="n">
        <v>1</v>
      </c>
      <c r="AB25" s="0" t="n">
        <v>0</v>
      </c>
    </row>
    <row r="26" customFormat="false" ht="15" hidden="false" customHeight="false" outlineLevel="0" collapsed="false">
      <c r="A26" s="0" t="n">
        <v>25</v>
      </c>
      <c r="B26" s="0" t="s">
        <v>28</v>
      </c>
      <c r="C26" s="2" t="n">
        <v>46060</v>
      </c>
      <c r="D26" s="3" t="s">
        <v>202</v>
      </c>
      <c r="E26" s="3" t="s">
        <v>30</v>
      </c>
      <c r="F26" s="3" t="s">
        <v>31</v>
      </c>
      <c r="G26" s="3" t="s">
        <v>32</v>
      </c>
      <c r="H26" s="0" t="n">
        <v>182</v>
      </c>
      <c r="I26" s="0" t="n">
        <v>355.17</v>
      </c>
      <c r="J26" s="0" t="n">
        <v>355.43</v>
      </c>
      <c r="K26" s="2" t="n">
        <v>46059</v>
      </c>
      <c r="L26" s="3" t="s">
        <v>203</v>
      </c>
      <c r="M26" s="2" t="n">
        <v>46059</v>
      </c>
      <c r="N26" s="3" t="s">
        <v>204</v>
      </c>
      <c r="O26" s="2" t="n">
        <v>46059</v>
      </c>
      <c r="P26" s="3" t="s">
        <v>205</v>
      </c>
      <c r="Q26" s="3" t="s">
        <v>206</v>
      </c>
      <c r="R26" s="2" t="n">
        <v>46060</v>
      </c>
      <c r="S26" s="3" t="s">
        <v>207</v>
      </c>
      <c r="T26" s="3" t="s">
        <v>208</v>
      </c>
      <c r="U26" s="3" t="s">
        <v>39</v>
      </c>
      <c r="V26" s="3" t="s">
        <v>39</v>
      </c>
      <c r="W26" s="3" t="s">
        <v>39</v>
      </c>
      <c r="X26" s="0" t="n">
        <v>2.5192</v>
      </c>
      <c r="Y26" s="0" t="n">
        <v>1.5</v>
      </c>
      <c r="Z26" s="0" t="n">
        <v>1.0192</v>
      </c>
      <c r="AA26" s="0" t="n">
        <v>1</v>
      </c>
      <c r="AB26" s="0" t="n">
        <v>0</v>
      </c>
    </row>
    <row r="27" customFormat="false" ht="15" hidden="false" customHeight="false" outlineLevel="0" collapsed="false">
      <c r="A27" s="0" t="n">
        <v>26</v>
      </c>
      <c r="B27" s="0" t="s">
        <v>28</v>
      </c>
      <c r="C27" s="2" t="n">
        <v>46060</v>
      </c>
      <c r="D27" s="3" t="s">
        <v>209</v>
      </c>
      <c r="E27" s="3" t="s">
        <v>30</v>
      </c>
      <c r="F27" s="3" t="s">
        <v>31</v>
      </c>
      <c r="G27" s="3" t="s">
        <v>41</v>
      </c>
      <c r="H27" s="0" t="n">
        <v>183</v>
      </c>
      <c r="I27" s="0" t="n">
        <v>857.59</v>
      </c>
      <c r="J27" s="0" t="n">
        <v>857.74</v>
      </c>
      <c r="K27" s="2" t="n">
        <v>46059</v>
      </c>
      <c r="L27" s="3" t="s">
        <v>77</v>
      </c>
      <c r="M27" s="2" t="n">
        <v>46059</v>
      </c>
      <c r="N27" s="3" t="s">
        <v>210</v>
      </c>
      <c r="O27" s="2" t="n">
        <v>46059</v>
      </c>
      <c r="P27" s="3" t="s">
        <v>211</v>
      </c>
      <c r="Q27" s="3" t="s">
        <v>212</v>
      </c>
      <c r="R27" s="2" t="n">
        <v>46060</v>
      </c>
      <c r="S27" s="3" t="s">
        <v>213</v>
      </c>
      <c r="T27" s="3" t="s">
        <v>111</v>
      </c>
      <c r="U27" s="3" t="s">
        <v>138</v>
      </c>
      <c r="V27" s="3" t="s">
        <v>138</v>
      </c>
      <c r="W27" s="3" t="s">
        <v>138</v>
      </c>
      <c r="X27" s="0" t="n">
        <v>5.355</v>
      </c>
      <c r="Y27" s="0" t="n">
        <v>1.5</v>
      </c>
      <c r="Z27" s="0" t="n">
        <v>3.855</v>
      </c>
      <c r="AA27" s="0" t="n">
        <v>4</v>
      </c>
      <c r="AB27" s="0" t="n">
        <v>0</v>
      </c>
    </row>
    <row r="28" customFormat="false" ht="15" hidden="false" customHeight="false" outlineLevel="0" collapsed="false">
      <c r="A28" s="0" t="n">
        <v>27</v>
      </c>
      <c r="B28" s="0" t="s">
        <v>28</v>
      </c>
      <c r="C28" s="2" t="n">
        <v>46060</v>
      </c>
      <c r="D28" s="3" t="s">
        <v>214</v>
      </c>
      <c r="E28" s="3" t="s">
        <v>67</v>
      </c>
      <c r="F28" s="3" t="s">
        <v>31</v>
      </c>
      <c r="G28" s="3" t="s">
        <v>41</v>
      </c>
      <c r="H28" s="0" t="n">
        <v>147</v>
      </c>
      <c r="I28" s="0" t="n">
        <v>147.57</v>
      </c>
      <c r="J28" s="0" t="n">
        <v>147.67</v>
      </c>
      <c r="K28" s="2" t="n">
        <v>46059</v>
      </c>
      <c r="L28" s="3" t="s">
        <v>215</v>
      </c>
      <c r="M28" s="2" t="n">
        <v>46059</v>
      </c>
      <c r="N28" s="3" t="s">
        <v>216</v>
      </c>
      <c r="O28" s="2" t="n">
        <v>46059</v>
      </c>
      <c r="P28" s="3" t="s">
        <v>217</v>
      </c>
      <c r="Q28" s="3" t="s">
        <v>218</v>
      </c>
      <c r="R28" s="2" t="n">
        <v>46060</v>
      </c>
      <c r="S28" s="3" t="s">
        <v>219</v>
      </c>
      <c r="T28" s="3" t="s">
        <v>96</v>
      </c>
      <c r="U28" s="3" t="s">
        <v>138</v>
      </c>
      <c r="V28" s="3" t="s">
        <v>138</v>
      </c>
      <c r="W28" s="3" t="s">
        <v>138</v>
      </c>
      <c r="X28" s="0" t="n">
        <v>1.2886</v>
      </c>
      <c r="Y28" s="0" t="n">
        <v>1.5</v>
      </c>
      <c r="Z28" s="0" t="n">
        <v>-0.2114</v>
      </c>
      <c r="AA28" s="0" t="n">
        <v>-1</v>
      </c>
      <c r="AB28" s="0" t="n">
        <v>0</v>
      </c>
    </row>
    <row r="29" customFormat="false" ht="15" hidden="false" customHeight="false" outlineLevel="0" collapsed="false">
      <c r="A29" s="0" t="n">
        <v>28</v>
      </c>
      <c r="B29" s="0" t="s">
        <v>48</v>
      </c>
      <c r="C29" s="2" t="n">
        <v>46060</v>
      </c>
      <c r="D29" s="3" t="s">
        <v>220</v>
      </c>
      <c r="E29" s="3" t="s">
        <v>30</v>
      </c>
      <c r="F29" s="3" t="s">
        <v>31</v>
      </c>
      <c r="G29" s="3" t="s">
        <v>140</v>
      </c>
      <c r="H29" s="0" t="n">
        <v>220</v>
      </c>
      <c r="I29" s="0" t="n">
        <v>347.17</v>
      </c>
      <c r="J29" s="0" t="n">
        <v>382.1</v>
      </c>
      <c r="K29" s="2" t="n">
        <v>46057</v>
      </c>
      <c r="L29" s="3" t="s">
        <v>221</v>
      </c>
      <c r="M29" s="2" t="n">
        <v>46057</v>
      </c>
      <c r="N29" s="3" t="s">
        <v>222</v>
      </c>
      <c r="O29" s="2" t="n">
        <v>46058</v>
      </c>
      <c r="P29" s="3" t="s">
        <v>223</v>
      </c>
      <c r="Q29" s="3" t="s">
        <v>224</v>
      </c>
      <c r="R29" s="2" t="n">
        <v>46060</v>
      </c>
      <c r="S29" s="3" t="s">
        <v>225</v>
      </c>
      <c r="T29" s="3" t="s">
        <v>159</v>
      </c>
      <c r="U29" s="3" t="s">
        <v>74</v>
      </c>
      <c r="V29" s="3" t="s">
        <v>74</v>
      </c>
      <c r="W29" s="3" t="s">
        <v>74</v>
      </c>
      <c r="X29" s="0" t="n">
        <v>1.0933</v>
      </c>
      <c r="Y29" s="0" t="n">
        <v>1.5</v>
      </c>
      <c r="Z29" s="0" t="n">
        <v>-0.4067</v>
      </c>
      <c r="AA29" s="0" t="n">
        <v>-1</v>
      </c>
      <c r="AB29" s="0" t="n">
        <v>0</v>
      </c>
    </row>
    <row r="30" customFormat="false" ht="15" hidden="false" customHeight="false" outlineLevel="0" collapsed="false">
      <c r="A30" s="0" t="n">
        <v>29</v>
      </c>
      <c r="B30" s="0" t="s">
        <v>48</v>
      </c>
      <c r="C30" s="2" t="n">
        <v>46060</v>
      </c>
      <c r="D30" s="3" t="s">
        <v>226</v>
      </c>
      <c r="E30" s="3" t="s">
        <v>30</v>
      </c>
      <c r="F30" s="3" t="s">
        <v>31</v>
      </c>
      <c r="G30" s="3" t="s">
        <v>50</v>
      </c>
      <c r="H30" s="0" t="n">
        <v>100</v>
      </c>
      <c r="I30" s="0" t="n">
        <v>2419.2</v>
      </c>
      <c r="J30" s="0" t="n">
        <v>2419.36</v>
      </c>
      <c r="K30" s="2" t="n">
        <v>46057</v>
      </c>
      <c r="L30" s="3" t="s">
        <v>227</v>
      </c>
      <c r="M30" s="2" t="n">
        <v>46057</v>
      </c>
      <c r="N30" s="3" t="s">
        <v>228</v>
      </c>
      <c r="O30" s="2" t="n">
        <v>46057</v>
      </c>
      <c r="P30" s="3" t="s">
        <v>229</v>
      </c>
      <c r="Q30" s="3" t="s">
        <v>230</v>
      </c>
      <c r="R30" s="2" t="n">
        <v>46060</v>
      </c>
      <c r="S30" s="3" t="s">
        <v>231</v>
      </c>
      <c r="T30" s="3" t="s">
        <v>96</v>
      </c>
      <c r="U30" s="3" t="s">
        <v>39</v>
      </c>
      <c r="V30" s="3" t="s">
        <v>39</v>
      </c>
      <c r="W30" s="3" t="s">
        <v>39</v>
      </c>
      <c r="X30" s="0" t="n">
        <v>5.0398</v>
      </c>
      <c r="Y30" s="0" t="n">
        <v>1.5</v>
      </c>
      <c r="Z30" s="0" t="n">
        <v>3.5398</v>
      </c>
      <c r="AA30" s="0" t="n">
        <v>4</v>
      </c>
      <c r="AB30" s="0" t="n">
        <v>0</v>
      </c>
    </row>
    <row r="31" customFormat="false" ht="15" hidden="false" customHeight="false" outlineLevel="0" collapsed="false">
      <c r="A31" s="0" t="n">
        <v>30</v>
      </c>
      <c r="B31" s="0" t="s">
        <v>28</v>
      </c>
      <c r="C31" s="2" t="n">
        <v>46061</v>
      </c>
      <c r="D31" s="3" t="s">
        <v>232</v>
      </c>
      <c r="E31" s="3" t="s">
        <v>30</v>
      </c>
      <c r="F31" s="3" t="s">
        <v>31</v>
      </c>
      <c r="G31" s="3" t="s">
        <v>32</v>
      </c>
      <c r="H31" s="0" t="n">
        <v>182</v>
      </c>
      <c r="I31" s="0" t="n">
        <v>2633.95</v>
      </c>
      <c r="J31" s="0" t="n">
        <v>3424.41</v>
      </c>
      <c r="K31" s="2" t="n">
        <v>46059</v>
      </c>
      <c r="L31" s="3" t="s">
        <v>233</v>
      </c>
      <c r="M31" s="2" t="n">
        <v>46059</v>
      </c>
      <c r="N31" s="3" t="s">
        <v>234</v>
      </c>
      <c r="O31" s="2" t="n">
        <v>46059</v>
      </c>
      <c r="P31" s="3" t="s">
        <v>149</v>
      </c>
      <c r="Q31" s="3" t="s">
        <v>235</v>
      </c>
      <c r="R31" s="2" t="n">
        <v>46061</v>
      </c>
      <c r="S31" s="3" t="s">
        <v>236</v>
      </c>
      <c r="T31" s="3" t="s">
        <v>56</v>
      </c>
      <c r="U31" s="3" t="s">
        <v>138</v>
      </c>
      <c r="V31" s="3" t="s">
        <v>138</v>
      </c>
      <c r="W31" s="3" t="s">
        <v>138</v>
      </c>
      <c r="X31" s="0" t="n">
        <v>4.1387</v>
      </c>
      <c r="Y31" s="0" t="n">
        <v>1.5</v>
      </c>
      <c r="Z31" s="0" t="n">
        <v>2.6387</v>
      </c>
      <c r="AA31" s="0" t="n">
        <v>3</v>
      </c>
      <c r="AB31" s="0" t="n">
        <v>0</v>
      </c>
    </row>
    <row r="32" customFormat="false" ht="15" hidden="false" customHeight="false" outlineLevel="0" collapsed="false">
      <c r="A32" s="0" t="n">
        <v>31</v>
      </c>
      <c r="B32" s="0" t="s">
        <v>28</v>
      </c>
      <c r="C32" s="2" t="n">
        <v>46061</v>
      </c>
      <c r="D32" s="3" t="s">
        <v>237</v>
      </c>
      <c r="E32" s="3" t="s">
        <v>30</v>
      </c>
      <c r="F32" s="3" t="s">
        <v>31</v>
      </c>
      <c r="G32" s="3" t="s">
        <v>106</v>
      </c>
      <c r="H32" s="0" t="n">
        <v>161</v>
      </c>
      <c r="I32" s="0" t="n">
        <v>1508.05</v>
      </c>
      <c r="J32" s="0" t="n">
        <v>1508.15</v>
      </c>
      <c r="K32" s="2" t="n">
        <v>46058</v>
      </c>
      <c r="L32" s="3" t="s">
        <v>238</v>
      </c>
      <c r="M32" s="2" t="n">
        <v>46058</v>
      </c>
      <c r="N32" s="3" t="s">
        <v>239</v>
      </c>
      <c r="O32" s="2" t="n">
        <v>46058</v>
      </c>
      <c r="P32" s="3" t="s">
        <v>240</v>
      </c>
      <c r="Q32" s="3" t="s">
        <v>241</v>
      </c>
      <c r="R32" s="2" t="n">
        <v>46061</v>
      </c>
      <c r="S32" s="3" t="s">
        <v>242</v>
      </c>
      <c r="T32" s="3" t="s">
        <v>88</v>
      </c>
      <c r="U32" s="3" t="s">
        <v>243</v>
      </c>
      <c r="V32" s="3" t="s">
        <v>243</v>
      </c>
      <c r="W32" s="3" t="s">
        <v>243</v>
      </c>
      <c r="X32" s="0" t="n">
        <v>5.3287</v>
      </c>
      <c r="Y32" s="0" t="n">
        <v>1.5</v>
      </c>
      <c r="Z32" s="0" t="n">
        <v>3.8287</v>
      </c>
      <c r="AA32" s="0" t="n">
        <v>4</v>
      </c>
      <c r="AB32" s="0" t="n">
        <v>0</v>
      </c>
    </row>
    <row r="33" customFormat="false" ht="15" hidden="false" customHeight="false" outlineLevel="0" collapsed="false">
      <c r="A33" s="0" t="n">
        <v>32</v>
      </c>
      <c r="B33" s="0" t="s">
        <v>28</v>
      </c>
      <c r="C33" s="2" t="n">
        <v>46061</v>
      </c>
      <c r="D33" s="3" t="s">
        <v>244</v>
      </c>
      <c r="E33" s="3" t="s">
        <v>30</v>
      </c>
      <c r="F33" s="3" t="s">
        <v>31</v>
      </c>
      <c r="G33" s="3" t="s">
        <v>68</v>
      </c>
      <c r="H33" s="0" t="n">
        <v>92</v>
      </c>
      <c r="I33" s="0" t="n">
        <v>2567.09</v>
      </c>
      <c r="J33" s="0" t="n">
        <v>2823.94</v>
      </c>
      <c r="K33" s="2" t="n">
        <v>46058</v>
      </c>
      <c r="L33" s="3" t="s">
        <v>245</v>
      </c>
      <c r="M33" s="2" t="n">
        <v>46058</v>
      </c>
      <c r="N33" s="3" t="s">
        <v>246</v>
      </c>
      <c r="O33" s="2" t="n">
        <v>46058</v>
      </c>
      <c r="P33" s="3" t="s">
        <v>247</v>
      </c>
      <c r="Q33" s="3" t="s">
        <v>248</v>
      </c>
      <c r="R33" s="2" t="n">
        <v>46061</v>
      </c>
      <c r="S33" s="3" t="s">
        <v>249</v>
      </c>
      <c r="T33" s="3" t="s">
        <v>124</v>
      </c>
      <c r="U33" s="3" t="s">
        <v>39</v>
      </c>
      <c r="V33" s="3" t="s">
        <v>39</v>
      </c>
      <c r="W33" s="3" t="s">
        <v>39</v>
      </c>
      <c r="X33" s="0" t="n">
        <v>0.2708</v>
      </c>
      <c r="Y33" s="0" t="n">
        <v>1.5</v>
      </c>
      <c r="Z33" s="0" t="n">
        <v>-1.2292</v>
      </c>
      <c r="AA33" s="0" t="n">
        <v>-1</v>
      </c>
      <c r="AB33" s="0" t="n">
        <v>0</v>
      </c>
    </row>
    <row r="34" customFormat="false" ht="15" hidden="false" customHeight="false" outlineLevel="0" collapsed="false">
      <c r="A34" s="0" t="n">
        <v>33</v>
      </c>
      <c r="B34" s="0" t="s">
        <v>28</v>
      </c>
      <c r="C34" s="2" t="n">
        <v>46061</v>
      </c>
      <c r="D34" s="3" t="s">
        <v>250</v>
      </c>
      <c r="E34" s="3" t="s">
        <v>30</v>
      </c>
      <c r="F34" s="3" t="s">
        <v>31</v>
      </c>
      <c r="G34" s="3" t="s">
        <v>32</v>
      </c>
      <c r="H34" s="0" t="n">
        <v>100</v>
      </c>
      <c r="I34" s="0" t="n">
        <v>2431.88</v>
      </c>
      <c r="J34" s="0" t="n">
        <v>2675.15</v>
      </c>
      <c r="K34" s="2" t="n">
        <v>46060</v>
      </c>
      <c r="L34" s="3" t="s">
        <v>251</v>
      </c>
      <c r="M34" s="2" t="n">
        <v>46060</v>
      </c>
      <c r="N34" s="3" t="s">
        <v>252</v>
      </c>
      <c r="O34" s="2" t="n">
        <v>46060</v>
      </c>
      <c r="P34" s="3" t="s">
        <v>253</v>
      </c>
      <c r="Q34" s="3" t="s">
        <v>254</v>
      </c>
      <c r="R34" s="2" t="n">
        <v>46061</v>
      </c>
      <c r="S34" s="3" t="s">
        <v>255</v>
      </c>
      <c r="T34" s="3" t="s">
        <v>131</v>
      </c>
      <c r="U34" s="3" t="s">
        <v>39</v>
      </c>
      <c r="V34" s="3" t="s">
        <v>39</v>
      </c>
      <c r="W34" s="3" t="s">
        <v>39</v>
      </c>
      <c r="X34" s="0" t="n">
        <v>3.9894</v>
      </c>
      <c r="Y34" s="0" t="n">
        <v>1.5</v>
      </c>
      <c r="Z34" s="0" t="n">
        <v>2.4894</v>
      </c>
      <c r="AA34" s="0" t="n">
        <v>2</v>
      </c>
      <c r="AB34" s="0" t="n">
        <v>0</v>
      </c>
    </row>
    <row r="35" customFormat="false" ht="15" hidden="false" customHeight="false" outlineLevel="0" collapsed="false">
      <c r="A35" s="0" t="n">
        <v>34</v>
      </c>
      <c r="B35" s="0" t="s">
        <v>28</v>
      </c>
      <c r="C35" s="2" t="n">
        <v>46061</v>
      </c>
      <c r="D35" s="3" t="s">
        <v>256</v>
      </c>
      <c r="E35" s="3" t="s">
        <v>67</v>
      </c>
      <c r="F35" s="3" t="s">
        <v>31</v>
      </c>
      <c r="G35" s="3" t="s">
        <v>106</v>
      </c>
      <c r="H35" s="0" t="n">
        <v>4</v>
      </c>
      <c r="I35" s="0" t="n">
        <v>2356.18</v>
      </c>
      <c r="J35" s="0" t="n">
        <v>2591.98</v>
      </c>
      <c r="K35" s="2" t="n">
        <v>46058</v>
      </c>
      <c r="L35" s="3" t="s">
        <v>257</v>
      </c>
      <c r="M35" s="2" t="n">
        <v>46059</v>
      </c>
      <c r="N35" s="3" t="s">
        <v>258</v>
      </c>
      <c r="O35" s="2" t="n">
        <v>46059</v>
      </c>
      <c r="P35" s="3" t="s">
        <v>259</v>
      </c>
      <c r="Q35" s="3" t="s">
        <v>260</v>
      </c>
      <c r="R35" s="2" t="n">
        <v>46061</v>
      </c>
      <c r="S35" s="3" t="s">
        <v>261</v>
      </c>
      <c r="T35" s="3" t="s">
        <v>104</v>
      </c>
      <c r="U35" s="3" t="s">
        <v>65</v>
      </c>
      <c r="V35" s="3" t="s">
        <v>65</v>
      </c>
      <c r="W35" s="3" t="s">
        <v>65</v>
      </c>
      <c r="X35" s="0" t="n">
        <v>3.9449</v>
      </c>
      <c r="Y35" s="0" t="n">
        <v>1.5</v>
      </c>
      <c r="Z35" s="0" t="n">
        <v>2.4449</v>
      </c>
      <c r="AA35" s="0" t="n">
        <v>2</v>
      </c>
      <c r="AB35" s="0" t="n">
        <v>0</v>
      </c>
    </row>
    <row r="36" customFormat="false" ht="15" hidden="false" customHeight="false" outlineLevel="0" collapsed="false">
      <c r="A36" s="0" t="n">
        <v>35</v>
      </c>
      <c r="B36" s="0" t="s">
        <v>28</v>
      </c>
      <c r="C36" s="2" t="n">
        <v>46061</v>
      </c>
      <c r="D36" s="3" t="s">
        <v>262</v>
      </c>
      <c r="E36" s="3" t="s">
        <v>30</v>
      </c>
      <c r="F36" s="3" t="s">
        <v>31</v>
      </c>
      <c r="G36" s="3" t="s">
        <v>68</v>
      </c>
      <c r="H36" s="0" t="n">
        <v>58</v>
      </c>
      <c r="I36" s="0" t="n">
        <v>559.01</v>
      </c>
      <c r="J36" s="0" t="n">
        <v>559.11</v>
      </c>
      <c r="K36" s="2" t="n">
        <v>46058</v>
      </c>
      <c r="L36" s="3" t="s">
        <v>191</v>
      </c>
      <c r="M36" s="2" t="n">
        <v>46058</v>
      </c>
      <c r="N36" s="3" t="s">
        <v>263</v>
      </c>
      <c r="O36" s="2" t="n">
        <v>46059</v>
      </c>
      <c r="P36" s="3" t="s">
        <v>264</v>
      </c>
      <c r="Q36" s="3" t="s">
        <v>265</v>
      </c>
      <c r="R36" s="2" t="n">
        <v>46061</v>
      </c>
      <c r="S36" s="3" t="s">
        <v>266</v>
      </c>
      <c r="T36" s="3" t="s">
        <v>208</v>
      </c>
      <c r="U36" s="3" t="s">
        <v>39</v>
      </c>
      <c r="V36" s="3" t="s">
        <v>39</v>
      </c>
      <c r="W36" s="3" t="s">
        <v>39</v>
      </c>
      <c r="X36" s="0" t="n">
        <v>0.6314</v>
      </c>
      <c r="Y36" s="0" t="n">
        <v>1.5</v>
      </c>
      <c r="Z36" s="0" t="n">
        <v>-0.8686</v>
      </c>
      <c r="AA36" s="0" t="n">
        <v>-1</v>
      </c>
      <c r="AB36" s="0" t="n">
        <v>0</v>
      </c>
    </row>
    <row r="37" customFormat="false" ht="15" hidden="false" customHeight="false" outlineLevel="0" collapsed="false">
      <c r="A37" s="0" t="n">
        <v>36</v>
      </c>
      <c r="B37" s="0" t="s">
        <v>28</v>
      </c>
      <c r="C37" s="2" t="n">
        <v>46061</v>
      </c>
      <c r="D37" s="3" t="s">
        <v>267</v>
      </c>
      <c r="E37" s="3" t="s">
        <v>30</v>
      </c>
      <c r="F37" s="3" t="s">
        <v>31</v>
      </c>
      <c r="G37" s="3" t="s">
        <v>98</v>
      </c>
      <c r="H37" s="0" t="n">
        <v>53</v>
      </c>
      <c r="I37" s="0" t="n">
        <v>2376.75</v>
      </c>
      <c r="J37" s="0" t="n">
        <v>2614.53</v>
      </c>
      <c r="K37" s="2" t="n">
        <v>46058</v>
      </c>
      <c r="L37" s="3" t="s">
        <v>268</v>
      </c>
      <c r="M37" s="2" t="n">
        <v>46058</v>
      </c>
      <c r="N37" s="3" t="s">
        <v>269</v>
      </c>
      <c r="O37" s="2" t="n">
        <v>46058</v>
      </c>
      <c r="P37" s="3" t="s">
        <v>270</v>
      </c>
      <c r="Q37" s="3" t="s">
        <v>271</v>
      </c>
      <c r="R37" s="2" t="n">
        <v>46061</v>
      </c>
      <c r="S37" s="3" t="s">
        <v>272</v>
      </c>
      <c r="T37" s="3" t="s">
        <v>146</v>
      </c>
      <c r="U37" s="3" t="s">
        <v>39</v>
      </c>
      <c r="V37" s="3" t="s">
        <v>39</v>
      </c>
      <c r="W37" s="3" t="s">
        <v>39</v>
      </c>
      <c r="X37" s="0" t="n">
        <v>1.6254</v>
      </c>
      <c r="Y37" s="0" t="n">
        <v>1.5</v>
      </c>
      <c r="Z37" s="0" t="n">
        <v>0.1254</v>
      </c>
      <c r="AA37" s="0" t="n">
        <v>1</v>
      </c>
      <c r="AB37" s="0" t="n">
        <v>0</v>
      </c>
    </row>
    <row r="38" customFormat="false" ht="15" hidden="false" customHeight="false" outlineLevel="0" collapsed="false">
      <c r="A38" s="0" t="n">
        <v>37</v>
      </c>
      <c r="B38" s="0" t="s">
        <v>48</v>
      </c>
      <c r="C38" s="2" t="n">
        <v>46061</v>
      </c>
      <c r="D38" s="3" t="s">
        <v>273</v>
      </c>
      <c r="E38" s="3" t="s">
        <v>30</v>
      </c>
      <c r="F38" s="3" t="s">
        <v>31</v>
      </c>
      <c r="G38" s="3" t="s">
        <v>58</v>
      </c>
      <c r="H38" s="0" t="n">
        <v>177</v>
      </c>
      <c r="I38" s="0" t="n">
        <v>2820.53</v>
      </c>
      <c r="J38" s="0" t="n">
        <v>4231.04</v>
      </c>
      <c r="K38" s="2" t="n">
        <v>46059</v>
      </c>
      <c r="L38" s="3" t="s">
        <v>274</v>
      </c>
      <c r="M38" s="2" t="n">
        <v>46060</v>
      </c>
      <c r="N38" s="3" t="s">
        <v>42</v>
      </c>
      <c r="O38" s="2" t="n">
        <v>46059</v>
      </c>
      <c r="P38" s="3" t="s">
        <v>275</v>
      </c>
      <c r="Q38" s="3" t="s">
        <v>276</v>
      </c>
      <c r="R38" s="2" t="n">
        <v>46061</v>
      </c>
      <c r="S38" s="3" t="s">
        <v>277</v>
      </c>
      <c r="T38" s="3" t="s">
        <v>153</v>
      </c>
      <c r="U38" s="3" t="s">
        <v>138</v>
      </c>
      <c r="V38" s="3" t="s">
        <v>138</v>
      </c>
      <c r="W38" s="3" t="s">
        <v>138</v>
      </c>
      <c r="X38" s="0" t="n">
        <v>1.2893</v>
      </c>
      <c r="Y38" s="0" t="n">
        <v>1.5</v>
      </c>
      <c r="Z38" s="0" t="n">
        <v>-0.2107</v>
      </c>
      <c r="AA38" s="0" t="n">
        <v>-1</v>
      </c>
      <c r="AB38" s="0" t="n">
        <v>0</v>
      </c>
    </row>
    <row r="39" customFormat="false" ht="15" hidden="false" customHeight="false" outlineLevel="0" collapsed="false">
      <c r="A39" s="0" t="n">
        <v>38</v>
      </c>
      <c r="B39" s="0" t="s">
        <v>28</v>
      </c>
      <c r="C39" s="2" t="n">
        <v>46062</v>
      </c>
      <c r="D39" s="3" t="s">
        <v>278</v>
      </c>
      <c r="E39" s="3" t="s">
        <v>30</v>
      </c>
      <c r="F39" s="3" t="s">
        <v>31</v>
      </c>
      <c r="G39" s="3" t="s">
        <v>50</v>
      </c>
      <c r="H39" s="0" t="n">
        <v>212</v>
      </c>
      <c r="I39" s="0" t="n">
        <v>2740.06</v>
      </c>
      <c r="J39" s="0" t="n">
        <v>2740.51</v>
      </c>
      <c r="K39" s="2" t="n">
        <v>46060</v>
      </c>
      <c r="L39" s="3" t="s">
        <v>279</v>
      </c>
      <c r="M39" s="2" t="n">
        <v>46061</v>
      </c>
      <c r="N39" s="3" t="s">
        <v>280</v>
      </c>
      <c r="O39" s="2" t="n">
        <v>46060</v>
      </c>
      <c r="P39" s="3" t="s">
        <v>281</v>
      </c>
      <c r="Q39" s="3" t="s">
        <v>282</v>
      </c>
      <c r="R39" s="2" t="n">
        <v>46062</v>
      </c>
      <c r="S39" s="3" t="s">
        <v>283</v>
      </c>
      <c r="T39" s="3" t="s">
        <v>96</v>
      </c>
      <c r="U39" s="3" t="s">
        <v>243</v>
      </c>
      <c r="V39" s="3" t="s">
        <v>243</v>
      </c>
      <c r="W39" s="3" t="s">
        <v>243</v>
      </c>
      <c r="X39" s="0" t="n">
        <v>4.1794</v>
      </c>
      <c r="Y39" s="0" t="n">
        <v>1.5</v>
      </c>
      <c r="Z39" s="0" t="n">
        <v>2.6794</v>
      </c>
      <c r="AA39" s="0" t="n">
        <v>3</v>
      </c>
      <c r="AB39" s="0" t="n">
        <v>0</v>
      </c>
    </row>
    <row r="40" customFormat="false" ht="15" hidden="false" customHeight="false" outlineLevel="0" collapsed="false">
      <c r="A40" s="0" t="n">
        <v>39</v>
      </c>
      <c r="B40" s="0" t="s">
        <v>28</v>
      </c>
      <c r="C40" s="2" t="n">
        <v>46062</v>
      </c>
      <c r="D40" s="3" t="s">
        <v>284</v>
      </c>
      <c r="E40" s="3" t="s">
        <v>30</v>
      </c>
      <c r="F40" s="3" t="s">
        <v>31</v>
      </c>
      <c r="G40" s="3" t="s">
        <v>41</v>
      </c>
      <c r="H40" s="0" t="n">
        <v>194</v>
      </c>
      <c r="I40" s="0" t="n">
        <v>2425.96</v>
      </c>
      <c r="J40" s="0" t="n">
        <v>2426.08</v>
      </c>
      <c r="K40" s="2" t="n">
        <v>46059</v>
      </c>
      <c r="L40" s="3" t="s">
        <v>285</v>
      </c>
      <c r="M40" s="2" t="n">
        <v>46060</v>
      </c>
      <c r="N40" s="3" t="s">
        <v>286</v>
      </c>
      <c r="O40" s="2" t="n">
        <v>46060</v>
      </c>
      <c r="P40" s="3" t="s">
        <v>287</v>
      </c>
      <c r="Q40" s="3" t="s">
        <v>288</v>
      </c>
      <c r="R40" s="2" t="n">
        <v>46062</v>
      </c>
      <c r="S40" s="3" t="s">
        <v>289</v>
      </c>
      <c r="T40" s="3" t="s">
        <v>56</v>
      </c>
      <c r="U40" s="3" t="s">
        <v>39</v>
      </c>
      <c r="V40" s="3" t="s">
        <v>39</v>
      </c>
      <c r="W40" s="3" t="s">
        <v>39</v>
      </c>
      <c r="X40" s="0" t="n">
        <v>0.6596</v>
      </c>
      <c r="Y40" s="0" t="n">
        <v>1.5</v>
      </c>
      <c r="Z40" s="0" t="n">
        <v>-0.8404</v>
      </c>
      <c r="AA40" s="0" t="n">
        <v>-1</v>
      </c>
      <c r="AB40" s="0" t="n">
        <v>0</v>
      </c>
    </row>
    <row r="41" customFormat="false" ht="15" hidden="false" customHeight="false" outlineLevel="0" collapsed="false">
      <c r="A41" s="0" t="n">
        <v>40</v>
      </c>
      <c r="B41" s="0" t="s">
        <v>28</v>
      </c>
      <c r="C41" s="2" t="n">
        <v>46062</v>
      </c>
      <c r="D41" s="3" t="s">
        <v>290</v>
      </c>
      <c r="E41" s="3" t="s">
        <v>30</v>
      </c>
      <c r="F41" s="3" t="s">
        <v>31</v>
      </c>
      <c r="G41" s="3" t="s">
        <v>140</v>
      </c>
      <c r="H41" s="0" t="n">
        <v>150</v>
      </c>
      <c r="I41" s="0" t="n">
        <v>1354.16</v>
      </c>
      <c r="J41" s="0" t="n">
        <v>1354.35</v>
      </c>
      <c r="K41" s="2" t="n">
        <v>46059</v>
      </c>
      <c r="L41" s="3" t="s">
        <v>291</v>
      </c>
      <c r="M41" s="2" t="n">
        <v>46059</v>
      </c>
      <c r="N41" s="3" t="s">
        <v>292</v>
      </c>
      <c r="O41" s="2" t="n">
        <v>46059</v>
      </c>
      <c r="P41" s="3" t="s">
        <v>293</v>
      </c>
      <c r="Q41" s="3" t="s">
        <v>294</v>
      </c>
      <c r="R41" s="2" t="n">
        <v>46062</v>
      </c>
      <c r="S41" s="3" t="s">
        <v>295</v>
      </c>
      <c r="T41" s="3" t="s">
        <v>146</v>
      </c>
      <c r="U41" s="3" t="s">
        <v>39</v>
      </c>
      <c r="V41" s="3" t="s">
        <v>39</v>
      </c>
      <c r="W41" s="3" t="s">
        <v>39</v>
      </c>
      <c r="X41" s="0" t="n">
        <v>3.4236</v>
      </c>
      <c r="Y41" s="0" t="n">
        <v>1.5</v>
      </c>
      <c r="Z41" s="0" t="n">
        <v>1.9236</v>
      </c>
      <c r="AA41" s="0" t="n">
        <v>2</v>
      </c>
      <c r="AB41" s="0" t="n">
        <v>0</v>
      </c>
    </row>
    <row r="42" customFormat="false" ht="15" hidden="false" customHeight="false" outlineLevel="0" collapsed="false">
      <c r="A42" s="0" t="n">
        <v>41</v>
      </c>
      <c r="B42" s="0" t="s">
        <v>28</v>
      </c>
      <c r="C42" s="2" t="n">
        <v>46062</v>
      </c>
      <c r="D42" s="3" t="s">
        <v>296</v>
      </c>
      <c r="E42" s="3" t="s">
        <v>30</v>
      </c>
      <c r="F42" s="3" t="s">
        <v>31</v>
      </c>
      <c r="G42" s="3" t="s">
        <v>106</v>
      </c>
      <c r="H42" s="0" t="n">
        <v>33</v>
      </c>
      <c r="I42" s="0" t="n">
        <v>44.27</v>
      </c>
      <c r="J42" s="0" t="n">
        <v>44.51</v>
      </c>
      <c r="K42" s="2" t="n">
        <v>46059</v>
      </c>
      <c r="L42" s="3" t="s">
        <v>297</v>
      </c>
      <c r="M42" s="2" t="n">
        <v>46059</v>
      </c>
      <c r="N42" s="3" t="s">
        <v>298</v>
      </c>
      <c r="O42" s="2" t="n">
        <v>46060</v>
      </c>
      <c r="P42" s="3" t="s">
        <v>299</v>
      </c>
      <c r="Q42" s="3" t="s">
        <v>300</v>
      </c>
      <c r="R42" s="2" t="n">
        <v>46062</v>
      </c>
      <c r="S42" s="3" t="s">
        <v>301</v>
      </c>
      <c r="T42" s="3" t="s">
        <v>111</v>
      </c>
      <c r="U42" s="3" t="s">
        <v>65</v>
      </c>
      <c r="V42" s="3" t="s">
        <v>65</v>
      </c>
      <c r="W42" s="3" t="s">
        <v>65</v>
      </c>
      <c r="X42" s="0" t="n">
        <v>5.2262</v>
      </c>
      <c r="Y42" s="0" t="n">
        <v>1.5</v>
      </c>
      <c r="Z42" s="0" t="n">
        <v>3.7262</v>
      </c>
      <c r="AA42" s="0" t="n">
        <v>4</v>
      </c>
      <c r="AB42" s="0" t="n">
        <v>0</v>
      </c>
    </row>
    <row r="43" customFormat="false" ht="15" hidden="false" customHeight="false" outlineLevel="0" collapsed="false">
      <c r="A43" s="0" t="n">
        <v>42</v>
      </c>
      <c r="B43" s="0" t="s">
        <v>48</v>
      </c>
      <c r="C43" s="2" t="n">
        <v>46062</v>
      </c>
      <c r="D43" s="3" t="s">
        <v>302</v>
      </c>
      <c r="E43" s="3" t="s">
        <v>67</v>
      </c>
      <c r="F43" s="3" t="s">
        <v>31</v>
      </c>
      <c r="G43" s="3" t="s">
        <v>76</v>
      </c>
      <c r="H43" s="0" t="n">
        <v>172</v>
      </c>
      <c r="I43" s="0" t="n">
        <v>1455.29</v>
      </c>
      <c r="J43" s="0" t="n">
        <v>1892.28</v>
      </c>
      <c r="K43" s="2" t="n">
        <v>46060</v>
      </c>
      <c r="L43" s="3" t="s">
        <v>303</v>
      </c>
      <c r="M43" s="2" t="n">
        <v>46060</v>
      </c>
      <c r="N43" s="3" t="s">
        <v>304</v>
      </c>
      <c r="O43" s="2" t="n">
        <v>46061</v>
      </c>
      <c r="P43" s="3" t="s">
        <v>305</v>
      </c>
      <c r="Q43" s="3" t="s">
        <v>306</v>
      </c>
      <c r="R43" s="2" t="n">
        <v>46062</v>
      </c>
      <c r="S43" s="3" t="s">
        <v>307</v>
      </c>
      <c r="T43" s="3" t="s">
        <v>38</v>
      </c>
      <c r="U43" s="3" t="s">
        <v>39</v>
      </c>
      <c r="V43" s="3" t="s">
        <v>39</v>
      </c>
      <c r="W43" s="3" t="s">
        <v>39</v>
      </c>
      <c r="X43" s="0" t="n">
        <v>5.2166</v>
      </c>
      <c r="Y43" s="0" t="n">
        <v>1.5</v>
      </c>
      <c r="Z43" s="0" t="n">
        <v>3.7166</v>
      </c>
      <c r="AA43" s="0" t="n">
        <v>4</v>
      </c>
      <c r="AB43" s="0" t="n">
        <v>0</v>
      </c>
    </row>
    <row r="44" customFormat="false" ht="15" hidden="false" customHeight="false" outlineLevel="0" collapsed="false">
      <c r="A44" s="0" t="n">
        <v>43</v>
      </c>
      <c r="B44" s="0" t="s">
        <v>28</v>
      </c>
      <c r="C44" s="2" t="n">
        <v>46063</v>
      </c>
      <c r="D44" s="3" t="s">
        <v>308</v>
      </c>
      <c r="E44" s="3" t="s">
        <v>67</v>
      </c>
      <c r="F44" s="3" t="s">
        <v>31</v>
      </c>
      <c r="G44" s="3" t="s">
        <v>41</v>
      </c>
      <c r="H44" s="0" t="n">
        <v>100</v>
      </c>
      <c r="I44" s="0" t="n">
        <v>2348.58</v>
      </c>
      <c r="J44" s="0" t="n">
        <v>2348.91</v>
      </c>
      <c r="K44" s="2" t="n">
        <v>46062</v>
      </c>
      <c r="L44" s="3" t="s">
        <v>309</v>
      </c>
      <c r="M44" s="2" t="n">
        <v>46063</v>
      </c>
      <c r="N44" s="3" t="s">
        <v>310</v>
      </c>
      <c r="O44" s="2" t="n">
        <v>46062</v>
      </c>
      <c r="P44" s="3" t="s">
        <v>311</v>
      </c>
      <c r="Q44" s="3" t="s">
        <v>312</v>
      </c>
      <c r="R44" s="2" t="n">
        <v>46063</v>
      </c>
      <c r="S44" s="3" t="s">
        <v>313</v>
      </c>
      <c r="T44" s="3" t="s">
        <v>153</v>
      </c>
      <c r="U44" s="3" t="s">
        <v>39</v>
      </c>
      <c r="V44" s="3" t="s">
        <v>39</v>
      </c>
      <c r="W44" s="3" t="s">
        <v>39</v>
      </c>
      <c r="X44" s="0" t="n">
        <v>5.1549</v>
      </c>
      <c r="Y44" s="0" t="n">
        <v>1.5</v>
      </c>
      <c r="Z44" s="0" t="n">
        <v>3.6549</v>
      </c>
      <c r="AA44" s="0" t="n">
        <v>4</v>
      </c>
      <c r="AB44" s="0" t="n">
        <v>0</v>
      </c>
    </row>
    <row r="45" customFormat="false" ht="15" hidden="false" customHeight="false" outlineLevel="0" collapsed="false">
      <c r="A45" s="0" t="n">
        <v>44</v>
      </c>
      <c r="B45" s="0" t="s">
        <v>28</v>
      </c>
      <c r="C45" s="2" t="n">
        <v>46063</v>
      </c>
      <c r="D45" s="3" t="s">
        <v>314</v>
      </c>
      <c r="E45" s="3" t="s">
        <v>30</v>
      </c>
      <c r="F45" s="3" t="s">
        <v>31</v>
      </c>
      <c r="G45" s="3" t="s">
        <v>50</v>
      </c>
      <c r="H45" s="0" t="n">
        <v>199</v>
      </c>
      <c r="I45" s="0" t="n">
        <v>2924.8</v>
      </c>
      <c r="J45" s="0" t="n">
        <v>3217.6</v>
      </c>
      <c r="K45" s="2" t="n">
        <v>46061</v>
      </c>
      <c r="L45" s="3" t="s">
        <v>69</v>
      </c>
      <c r="M45" s="2" t="n">
        <v>46061</v>
      </c>
      <c r="N45" s="3" t="s">
        <v>315</v>
      </c>
      <c r="O45" s="2" t="n">
        <v>46062</v>
      </c>
      <c r="P45" s="3" t="s">
        <v>316</v>
      </c>
      <c r="Q45" s="3" t="s">
        <v>317</v>
      </c>
      <c r="R45" s="2" t="n">
        <v>46063</v>
      </c>
      <c r="S45" s="3" t="s">
        <v>318</v>
      </c>
      <c r="T45" s="3" t="s">
        <v>104</v>
      </c>
      <c r="U45" s="3" t="s">
        <v>39</v>
      </c>
      <c r="V45" s="3" t="s">
        <v>39</v>
      </c>
      <c r="W45" s="3" t="s">
        <v>39</v>
      </c>
      <c r="X45" s="0" t="n">
        <v>5.262</v>
      </c>
      <c r="Y45" s="0" t="n">
        <v>1.5</v>
      </c>
      <c r="Z45" s="0" t="n">
        <v>3.762</v>
      </c>
      <c r="AA45" s="0" t="n">
        <v>4</v>
      </c>
      <c r="AB45" s="0" t="n">
        <v>0</v>
      </c>
    </row>
    <row r="46" customFormat="false" ht="15" hidden="false" customHeight="false" outlineLevel="0" collapsed="false">
      <c r="A46" s="0" t="n">
        <v>45</v>
      </c>
      <c r="B46" s="0" t="s">
        <v>28</v>
      </c>
      <c r="C46" s="2" t="n">
        <v>46064</v>
      </c>
      <c r="D46" s="3" t="s">
        <v>319</v>
      </c>
      <c r="E46" s="3" t="s">
        <v>30</v>
      </c>
      <c r="F46" s="3" t="s">
        <v>31</v>
      </c>
      <c r="G46" s="3" t="s">
        <v>76</v>
      </c>
      <c r="H46" s="0" t="n">
        <v>209</v>
      </c>
      <c r="I46" s="0" t="n">
        <v>2908.75</v>
      </c>
      <c r="J46" s="0" t="n">
        <v>2908.84</v>
      </c>
      <c r="K46" s="2" t="n">
        <v>46063</v>
      </c>
      <c r="L46" s="3" t="s">
        <v>320</v>
      </c>
      <c r="M46" s="2" t="n">
        <v>46063</v>
      </c>
      <c r="N46" s="3" t="s">
        <v>321</v>
      </c>
      <c r="O46" s="2" t="n">
        <v>46064</v>
      </c>
      <c r="P46" s="3" t="s">
        <v>133</v>
      </c>
      <c r="Q46" s="3" t="s">
        <v>322</v>
      </c>
      <c r="R46" s="2" t="n">
        <v>46064</v>
      </c>
      <c r="S46" s="3" t="s">
        <v>323</v>
      </c>
      <c r="T46" s="3" t="s">
        <v>324</v>
      </c>
      <c r="U46" s="3" t="s">
        <v>74</v>
      </c>
      <c r="V46" s="3" t="s">
        <v>74</v>
      </c>
      <c r="W46" s="3" t="s">
        <v>74</v>
      </c>
      <c r="X46" s="0" t="n">
        <v>1.4887</v>
      </c>
      <c r="Y46" s="0" t="n">
        <v>1.5</v>
      </c>
      <c r="Z46" s="0" t="n">
        <v>-0.0113</v>
      </c>
      <c r="AA46" s="0" t="n">
        <v>-1</v>
      </c>
      <c r="AB46" s="0" t="n">
        <v>0</v>
      </c>
    </row>
    <row r="47" customFormat="false" ht="15" hidden="false" customHeight="false" outlineLevel="0" collapsed="false">
      <c r="A47" s="0" t="n">
        <v>46</v>
      </c>
      <c r="B47" s="0" t="s">
        <v>28</v>
      </c>
      <c r="C47" s="2" t="n">
        <v>46064</v>
      </c>
      <c r="D47" s="3" t="s">
        <v>325</v>
      </c>
      <c r="E47" s="3" t="s">
        <v>67</v>
      </c>
      <c r="F47" s="3" t="s">
        <v>31</v>
      </c>
      <c r="G47" s="3" t="s">
        <v>41</v>
      </c>
      <c r="H47" s="0" t="n">
        <v>145</v>
      </c>
      <c r="I47" s="0" t="n">
        <v>2379.31</v>
      </c>
      <c r="J47" s="0" t="n">
        <v>2379.53</v>
      </c>
      <c r="K47" s="2" t="n">
        <v>46061</v>
      </c>
      <c r="L47" s="3" t="s">
        <v>167</v>
      </c>
      <c r="M47" s="2" t="n">
        <v>46061</v>
      </c>
      <c r="N47" s="3" t="s">
        <v>326</v>
      </c>
      <c r="O47" s="2" t="n">
        <v>46061</v>
      </c>
      <c r="P47" s="3" t="s">
        <v>327</v>
      </c>
      <c r="Q47" s="3" t="s">
        <v>328</v>
      </c>
      <c r="R47" s="2" t="n">
        <v>46064</v>
      </c>
      <c r="S47" s="3" t="s">
        <v>329</v>
      </c>
      <c r="T47" s="3" t="s">
        <v>96</v>
      </c>
      <c r="U47" s="3" t="s">
        <v>39</v>
      </c>
      <c r="V47" s="3" t="s">
        <v>39</v>
      </c>
      <c r="W47" s="3" t="s">
        <v>39</v>
      </c>
      <c r="X47" s="0" t="n">
        <v>2.1171</v>
      </c>
      <c r="Y47" s="0" t="n">
        <v>1.5</v>
      </c>
      <c r="Z47" s="0" t="n">
        <v>0.6171</v>
      </c>
      <c r="AA47" s="0" t="n">
        <v>1</v>
      </c>
      <c r="AB47" s="0" t="n">
        <v>0</v>
      </c>
    </row>
    <row r="48" customFormat="false" ht="15" hidden="false" customHeight="false" outlineLevel="0" collapsed="false">
      <c r="A48" s="0" t="n">
        <v>47</v>
      </c>
      <c r="B48" s="0" t="s">
        <v>28</v>
      </c>
      <c r="C48" s="2" t="n">
        <v>46064</v>
      </c>
      <c r="D48" s="3" t="s">
        <v>330</v>
      </c>
      <c r="E48" s="3" t="s">
        <v>30</v>
      </c>
      <c r="F48" s="3" t="s">
        <v>31</v>
      </c>
      <c r="G48" s="3" t="s">
        <v>41</v>
      </c>
      <c r="H48" s="0" t="n">
        <v>196</v>
      </c>
      <c r="I48" s="0" t="n">
        <v>2391.54</v>
      </c>
      <c r="J48" s="0" t="n">
        <v>3587.48</v>
      </c>
      <c r="K48" s="2" t="n">
        <v>46063</v>
      </c>
      <c r="L48" s="3" t="s">
        <v>331</v>
      </c>
      <c r="M48" s="2" t="n">
        <v>46063</v>
      </c>
      <c r="N48" s="3" t="s">
        <v>332</v>
      </c>
      <c r="O48" s="2" t="n">
        <v>46064</v>
      </c>
      <c r="P48" s="3" t="s">
        <v>333</v>
      </c>
      <c r="Q48" s="3" t="s">
        <v>334</v>
      </c>
      <c r="R48" s="2" t="n">
        <v>46064</v>
      </c>
      <c r="S48" s="3" t="s">
        <v>258</v>
      </c>
      <c r="T48" s="3" t="s">
        <v>159</v>
      </c>
      <c r="U48" s="3" t="s">
        <v>39</v>
      </c>
      <c r="V48" s="3" t="s">
        <v>39</v>
      </c>
      <c r="W48" s="3" t="s">
        <v>39</v>
      </c>
      <c r="X48" s="0" t="n">
        <v>1.5389</v>
      </c>
      <c r="Y48" s="0" t="n">
        <v>1.5</v>
      </c>
      <c r="Z48" s="0" t="n">
        <v>0.0389</v>
      </c>
      <c r="AA48" s="0" t="n">
        <v>1</v>
      </c>
      <c r="AB48" s="0" t="n">
        <v>0</v>
      </c>
    </row>
    <row r="49" customFormat="false" ht="15" hidden="false" customHeight="false" outlineLevel="0" collapsed="false">
      <c r="A49" s="0" t="n">
        <v>48</v>
      </c>
      <c r="B49" s="0" t="s">
        <v>48</v>
      </c>
      <c r="C49" s="2" t="n">
        <v>46064</v>
      </c>
      <c r="D49" s="3" t="s">
        <v>335</v>
      </c>
      <c r="E49" s="3" t="s">
        <v>30</v>
      </c>
      <c r="F49" s="3" t="s">
        <v>31</v>
      </c>
      <c r="G49" s="3" t="s">
        <v>98</v>
      </c>
      <c r="H49" s="0" t="n">
        <v>58</v>
      </c>
      <c r="I49" s="0" t="n">
        <v>2000.26</v>
      </c>
      <c r="J49" s="0" t="n">
        <v>3000.55</v>
      </c>
      <c r="K49" s="2" t="n">
        <v>46061</v>
      </c>
      <c r="L49" s="3" t="s">
        <v>336</v>
      </c>
      <c r="M49" s="2" t="n">
        <v>46061</v>
      </c>
      <c r="N49" s="3" t="s">
        <v>337</v>
      </c>
      <c r="O49" s="2" t="n">
        <v>46062</v>
      </c>
      <c r="P49" s="3" t="s">
        <v>338</v>
      </c>
      <c r="Q49" s="3" t="s">
        <v>339</v>
      </c>
      <c r="R49" s="2" t="n">
        <v>46064</v>
      </c>
      <c r="S49" s="3" t="s">
        <v>340</v>
      </c>
      <c r="T49" s="3" t="s">
        <v>38</v>
      </c>
      <c r="U49" s="3" t="s">
        <v>39</v>
      </c>
      <c r="V49" s="3" t="s">
        <v>39</v>
      </c>
      <c r="W49" s="3" t="s">
        <v>39</v>
      </c>
      <c r="X49" s="0" t="n">
        <v>1.4114</v>
      </c>
      <c r="Y49" s="0" t="n">
        <v>1.5</v>
      </c>
      <c r="Z49" s="0" t="n">
        <v>-0.0886</v>
      </c>
      <c r="AA49" s="0" t="n">
        <v>-1</v>
      </c>
      <c r="AB49" s="0" t="n">
        <v>0</v>
      </c>
    </row>
    <row r="50" customFormat="false" ht="15" hidden="false" customHeight="false" outlineLevel="0" collapsed="false">
      <c r="A50" s="0" t="n">
        <v>49</v>
      </c>
      <c r="B50" s="0" t="s">
        <v>28</v>
      </c>
      <c r="C50" s="2" t="n">
        <v>46065</v>
      </c>
      <c r="D50" s="3" t="s">
        <v>341</v>
      </c>
      <c r="E50" s="3" t="s">
        <v>30</v>
      </c>
      <c r="F50" s="3" t="s">
        <v>31</v>
      </c>
      <c r="G50" s="3" t="s">
        <v>140</v>
      </c>
      <c r="H50" s="0" t="n">
        <v>67</v>
      </c>
      <c r="I50" s="0" t="n">
        <v>1490.64</v>
      </c>
      <c r="J50" s="0" t="n">
        <v>1491.01</v>
      </c>
      <c r="K50" s="2" t="n">
        <v>46062</v>
      </c>
      <c r="L50" s="3" t="s">
        <v>342</v>
      </c>
      <c r="M50" s="2" t="n">
        <v>46062</v>
      </c>
      <c r="N50" s="3" t="s">
        <v>327</v>
      </c>
      <c r="O50" s="2" t="n">
        <v>46062</v>
      </c>
      <c r="P50" s="3" t="s">
        <v>343</v>
      </c>
      <c r="Q50" s="3" t="s">
        <v>344</v>
      </c>
      <c r="R50" s="2" t="n">
        <v>46065</v>
      </c>
      <c r="S50" s="3" t="s">
        <v>333</v>
      </c>
      <c r="T50" s="3" t="s">
        <v>64</v>
      </c>
      <c r="U50" s="3" t="s">
        <v>89</v>
      </c>
      <c r="V50" s="3" t="s">
        <v>89</v>
      </c>
      <c r="W50" s="3" t="s">
        <v>89</v>
      </c>
      <c r="X50" s="0" t="n">
        <v>4.7407</v>
      </c>
      <c r="Y50" s="0" t="n">
        <v>1.5</v>
      </c>
      <c r="Z50" s="0" t="n">
        <v>3.2407</v>
      </c>
      <c r="AA50" s="0" t="n">
        <v>3</v>
      </c>
      <c r="AB50" s="0" t="n">
        <v>0</v>
      </c>
    </row>
    <row r="51" customFormat="false" ht="15" hidden="false" customHeight="false" outlineLevel="0" collapsed="false">
      <c r="A51" s="0" t="n">
        <v>50</v>
      </c>
      <c r="B51" s="0" t="s">
        <v>28</v>
      </c>
      <c r="C51" s="2" t="n">
        <v>46065</v>
      </c>
      <c r="D51" s="3" t="s">
        <v>345</v>
      </c>
      <c r="E51" s="3" t="s">
        <v>30</v>
      </c>
      <c r="F51" s="3" t="s">
        <v>31</v>
      </c>
      <c r="G51" s="3" t="s">
        <v>32</v>
      </c>
      <c r="H51" s="0" t="n">
        <v>166</v>
      </c>
      <c r="I51" s="0" t="n">
        <v>3038.52</v>
      </c>
      <c r="J51" s="0" t="n">
        <v>3950.17</v>
      </c>
      <c r="K51" s="2" t="n">
        <v>46063</v>
      </c>
      <c r="L51" s="3" t="s">
        <v>346</v>
      </c>
      <c r="M51" s="2" t="n">
        <v>46063</v>
      </c>
      <c r="N51" s="3" t="s">
        <v>347</v>
      </c>
      <c r="O51" s="2" t="n">
        <v>46063</v>
      </c>
      <c r="P51" s="3" t="s">
        <v>348</v>
      </c>
      <c r="Q51" s="3" t="s">
        <v>349</v>
      </c>
      <c r="R51" s="2" t="n">
        <v>46065</v>
      </c>
      <c r="S51" s="3" t="s">
        <v>350</v>
      </c>
      <c r="T51" s="3" t="s">
        <v>208</v>
      </c>
      <c r="U51" s="3" t="s">
        <v>89</v>
      </c>
      <c r="V51" s="3" t="s">
        <v>89</v>
      </c>
      <c r="W51" s="3" t="s">
        <v>89</v>
      </c>
      <c r="X51" s="0" t="n">
        <v>4.457</v>
      </c>
      <c r="Y51" s="0" t="n">
        <v>1.5</v>
      </c>
      <c r="Z51" s="0" t="n">
        <v>2.957</v>
      </c>
      <c r="AA51" s="0" t="n">
        <v>3</v>
      </c>
      <c r="AB51" s="0" t="n">
        <v>0</v>
      </c>
    </row>
    <row r="52" customFormat="false" ht="15" hidden="false" customHeight="false" outlineLevel="0" collapsed="false">
      <c r="A52" s="0" t="n">
        <v>51</v>
      </c>
      <c r="B52" s="0" t="s">
        <v>28</v>
      </c>
      <c r="C52" s="2" t="n">
        <v>46065</v>
      </c>
      <c r="D52" s="3" t="s">
        <v>351</v>
      </c>
      <c r="E52" s="3" t="s">
        <v>30</v>
      </c>
      <c r="F52" s="3" t="s">
        <v>31</v>
      </c>
      <c r="G52" s="3" t="s">
        <v>68</v>
      </c>
      <c r="H52" s="0" t="n">
        <v>74</v>
      </c>
      <c r="I52" s="0" t="n">
        <v>2579.22</v>
      </c>
      <c r="J52" s="0" t="n">
        <v>3353.4</v>
      </c>
      <c r="K52" s="2" t="n">
        <v>46062</v>
      </c>
      <c r="L52" s="3" t="s">
        <v>352</v>
      </c>
      <c r="M52" s="2" t="n">
        <v>46063</v>
      </c>
      <c r="N52" s="3" t="s">
        <v>353</v>
      </c>
      <c r="O52" s="2" t="n">
        <v>46062</v>
      </c>
      <c r="P52" s="3" t="s">
        <v>354</v>
      </c>
      <c r="Q52" s="3" t="s">
        <v>355</v>
      </c>
      <c r="R52" s="2" t="n">
        <v>46065</v>
      </c>
      <c r="S52" s="3" t="s">
        <v>270</v>
      </c>
      <c r="T52" s="3" t="s">
        <v>111</v>
      </c>
      <c r="U52" s="3" t="s">
        <v>39</v>
      </c>
      <c r="V52" s="3" t="s">
        <v>39</v>
      </c>
      <c r="W52" s="3" t="s">
        <v>39</v>
      </c>
      <c r="X52" s="0" t="n">
        <v>0.4628</v>
      </c>
      <c r="Y52" s="0" t="n">
        <v>1.5</v>
      </c>
      <c r="Z52" s="0" t="n">
        <v>-1.0372</v>
      </c>
      <c r="AA52" s="0" t="n">
        <v>-1</v>
      </c>
      <c r="AB52" s="0" t="n">
        <v>0</v>
      </c>
    </row>
    <row r="53" customFormat="false" ht="15" hidden="false" customHeight="false" outlineLevel="0" collapsed="false">
      <c r="A53" s="0" t="n">
        <v>52</v>
      </c>
      <c r="B53" s="0" t="s">
        <v>48</v>
      </c>
      <c r="C53" s="2" t="n">
        <v>46065</v>
      </c>
      <c r="D53" s="3" t="s">
        <v>356</v>
      </c>
      <c r="E53" s="3" t="s">
        <v>30</v>
      </c>
      <c r="F53" s="3" t="s">
        <v>31</v>
      </c>
      <c r="G53" s="3" t="s">
        <v>50</v>
      </c>
      <c r="H53" s="0" t="n">
        <v>166</v>
      </c>
      <c r="I53" s="0" t="n">
        <v>1912.52</v>
      </c>
      <c r="J53" s="0" t="n">
        <v>1912.83</v>
      </c>
      <c r="K53" s="2" t="n">
        <v>46063</v>
      </c>
      <c r="L53" s="3" t="s">
        <v>357</v>
      </c>
      <c r="M53" s="2" t="n">
        <v>46063</v>
      </c>
      <c r="N53" s="3" t="s">
        <v>234</v>
      </c>
      <c r="O53" s="2" t="n">
        <v>46064</v>
      </c>
      <c r="P53" s="3" t="s">
        <v>358</v>
      </c>
      <c r="Q53" s="3" t="s">
        <v>359</v>
      </c>
      <c r="R53" s="2" t="n">
        <v>46065</v>
      </c>
      <c r="S53" s="3" t="s">
        <v>360</v>
      </c>
      <c r="T53" s="3" t="s">
        <v>88</v>
      </c>
      <c r="U53" s="3" t="s">
        <v>39</v>
      </c>
      <c r="V53" s="3" t="s">
        <v>39</v>
      </c>
      <c r="W53" s="3" t="s">
        <v>39</v>
      </c>
      <c r="X53" s="0" t="n">
        <v>5.2433</v>
      </c>
      <c r="Y53" s="0" t="n">
        <v>1.5</v>
      </c>
      <c r="Z53" s="0" t="n">
        <v>3.7433</v>
      </c>
      <c r="AA53" s="0" t="n">
        <v>4</v>
      </c>
      <c r="AB53" s="0" t="n">
        <v>0</v>
      </c>
    </row>
    <row r="54" customFormat="false" ht="15" hidden="false" customHeight="false" outlineLevel="0" collapsed="false">
      <c r="A54" s="0" t="n">
        <v>53</v>
      </c>
      <c r="B54" s="0" t="s">
        <v>48</v>
      </c>
      <c r="C54" s="2" t="n">
        <v>46065</v>
      </c>
      <c r="D54" s="3" t="s">
        <v>361</v>
      </c>
      <c r="E54" s="3" t="s">
        <v>30</v>
      </c>
      <c r="F54" s="3" t="s">
        <v>31</v>
      </c>
      <c r="G54" s="3" t="s">
        <v>140</v>
      </c>
      <c r="H54" s="0" t="n">
        <v>205</v>
      </c>
      <c r="I54" s="0" t="n">
        <v>826.69</v>
      </c>
      <c r="J54" s="0" t="n">
        <v>909.82</v>
      </c>
      <c r="K54" s="2" t="n">
        <v>46063</v>
      </c>
      <c r="L54" s="3" t="s">
        <v>362</v>
      </c>
      <c r="M54" s="2" t="n">
        <v>46063</v>
      </c>
      <c r="N54" s="3" t="s">
        <v>363</v>
      </c>
      <c r="O54" s="2" t="n">
        <v>46063</v>
      </c>
      <c r="P54" s="3" t="s">
        <v>364</v>
      </c>
      <c r="Q54" s="3" t="s">
        <v>365</v>
      </c>
      <c r="R54" s="2" t="n">
        <v>46065</v>
      </c>
      <c r="S54" s="3" t="s">
        <v>366</v>
      </c>
      <c r="T54" s="3" t="s">
        <v>124</v>
      </c>
      <c r="U54" s="3" t="s">
        <v>367</v>
      </c>
      <c r="V54" s="3" t="s">
        <v>367</v>
      </c>
      <c r="W54" s="3" t="s">
        <v>367</v>
      </c>
      <c r="X54" s="0" t="n">
        <v>2.3266</v>
      </c>
      <c r="Y54" s="0" t="n">
        <v>1.5</v>
      </c>
      <c r="Z54" s="0" t="n">
        <v>0.8266</v>
      </c>
      <c r="AA54" s="0" t="n">
        <v>1</v>
      </c>
      <c r="AB54" s="0" t="n">
        <v>0</v>
      </c>
    </row>
    <row r="55" customFormat="false" ht="15" hidden="false" customHeight="false" outlineLevel="0" collapsed="false">
      <c r="A55" s="0" t="n">
        <v>54</v>
      </c>
      <c r="B55" s="0" t="s">
        <v>48</v>
      </c>
      <c r="C55" s="2" t="n">
        <v>46065</v>
      </c>
      <c r="D55" s="3" t="s">
        <v>368</v>
      </c>
      <c r="E55" s="3" t="s">
        <v>30</v>
      </c>
      <c r="F55" s="3" t="s">
        <v>31</v>
      </c>
      <c r="G55" s="3" t="s">
        <v>68</v>
      </c>
      <c r="H55" s="0" t="n">
        <v>181</v>
      </c>
      <c r="I55" s="0" t="n">
        <v>2486.39</v>
      </c>
      <c r="J55" s="0" t="n">
        <v>2486.57</v>
      </c>
      <c r="K55" s="2" t="n">
        <v>46062</v>
      </c>
      <c r="L55" s="3" t="s">
        <v>369</v>
      </c>
      <c r="M55" s="2" t="n">
        <v>46062</v>
      </c>
      <c r="N55" s="3" t="s">
        <v>370</v>
      </c>
      <c r="O55" s="2" t="n">
        <v>46062</v>
      </c>
      <c r="P55" s="3" t="s">
        <v>255</v>
      </c>
      <c r="Q55" s="3" t="s">
        <v>371</v>
      </c>
      <c r="R55" s="2" t="n">
        <v>46065</v>
      </c>
      <c r="S55" s="3" t="s">
        <v>372</v>
      </c>
      <c r="T55" s="3" t="s">
        <v>324</v>
      </c>
      <c r="U55" s="3" t="s">
        <v>39</v>
      </c>
      <c r="V55" s="3" t="s">
        <v>39</v>
      </c>
      <c r="W55" s="3" t="s">
        <v>39</v>
      </c>
      <c r="X55" s="0" t="n">
        <v>0.9999</v>
      </c>
      <c r="Y55" s="0" t="n">
        <v>1.5</v>
      </c>
      <c r="Z55" s="0" t="n">
        <v>-0.5001</v>
      </c>
      <c r="AA55" s="0" t="n">
        <v>-1</v>
      </c>
      <c r="AB55" s="0" t="n">
        <v>0</v>
      </c>
    </row>
    <row r="56" customFormat="false" ht="15" hidden="false" customHeight="false" outlineLevel="0" collapsed="false">
      <c r="A56" s="0" t="n">
        <v>55</v>
      </c>
      <c r="B56" s="0" t="s">
        <v>28</v>
      </c>
      <c r="C56" s="2" t="n">
        <v>46066</v>
      </c>
      <c r="D56" s="3" t="s">
        <v>373</v>
      </c>
      <c r="E56" s="3" t="s">
        <v>30</v>
      </c>
      <c r="F56" s="3" t="s">
        <v>31</v>
      </c>
      <c r="G56" s="3" t="s">
        <v>140</v>
      </c>
      <c r="H56" s="0" t="n">
        <v>149</v>
      </c>
      <c r="I56" s="0" t="n">
        <v>1265.92</v>
      </c>
      <c r="J56" s="0" t="n">
        <v>1645.91</v>
      </c>
      <c r="K56" s="2" t="n">
        <v>46064</v>
      </c>
      <c r="L56" s="3" t="s">
        <v>374</v>
      </c>
      <c r="M56" s="2" t="n">
        <v>46064</v>
      </c>
      <c r="N56" s="3" t="s">
        <v>321</v>
      </c>
      <c r="O56" s="2" t="n">
        <v>46065</v>
      </c>
      <c r="P56" s="3" t="s">
        <v>375</v>
      </c>
      <c r="Q56" s="3" t="s">
        <v>376</v>
      </c>
      <c r="R56" s="2" t="n">
        <v>46066</v>
      </c>
      <c r="S56" s="3" t="s">
        <v>189</v>
      </c>
      <c r="T56" s="3" t="s">
        <v>88</v>
      </c>
      <c r="U56" s="3" t="s">
        <v>39</v>
      </c>
      <c r="V56" s="3" t="s">
        <v>39</v>
      </c>
      <c r="W56" s="3" t="s">
        <v>39</v>
      </c>
      <c r="X56" s="0" t="n">
        <v>4.7137</v>
      </c>
      <c r="Y56" s="0" t="n">
        <v>1.5</v>
      </c>
      <c r="Z56" s="0" t="n">
        <v>3.2137</v>
      </c>
      <c r="AA56" s="0" t="n">
        <v>3</v>
      </c>
      <c r="AB56" s="0" t="n">
        <v>0</v>
      </c>
    </row>
    <row r="57" customFormat="false" ht="15" hidden="false" customHeight="false" outlineLevel="0" collapsed="false">
      <c r="A57" s="0" t="n">
        <v>56</v>
      </c>
      <c r="B57" s="0" t="s">
        <v>28</v>
      </c>
      <c r="C57" s="2" t="n">
        <v>46066</v>
      </c>
      <c r="D57" s="3" t="s">
        <v>377</v>
      </c>
      <c r="E57" s="3" t="s">
        <v>30</v>
      </c>
      <c r="F57" s="3" t="s">
        <v>31</v>
      </c>
      <c r="G57" s="3" t="s">
        <v>68</v>
      </c>
      <c r="H57" s="0" t="n">
        <v>128</v>
      </c>
      <c r="I57" s="0" t="n">
        <v>2030.45</v>
      </c>
      <c r="J57" s="0" t="n">
        <v>2640.06</v>
      </c>
      <c r="K57" s="2" t="n">
        <v>46063</v>
      </c>
      <c r="L57" s="3" t="s">
        <v>378</v>
      </c>
      <c r="M57" s="2" t="n">
        <v>46063</v>
      </c>
      <c r="N57" s="3" t="s">
        <v>379</v>
      </c>
      <c r="O57" s="2" t="n">
        <v>46063</v>
      </c>
      <c r="P57" s="3" t="s">
        <v>380</v>
      </c>
      <c r="Q57" s="3" t="s">
        <v>381</v>
      </c>
      <c r="R57" s="2" t="n">
        <v>46066</v>
      </c>
      <c r="S57" s="3" t="s">
        <v>382</v>
      </c>
      <c r="T57" s="3" t="s">
        <v>104</v>
      </c>
      <c r="U57" s="3" t="s">
        <v>39</v>
      </c>
      <c r="V57" s="3" t="s">
        <v>39</v>
      </c>
      <c r="W57" s="3" t="s">
        <v>39</v>
      </c>
      <c r="X57" s="0" t="n">
        <v>0.6351</v>
      </c>
      <c r="Y57" s="0" t="n">
        <v>1.5</v>
      </c>
      <c r="Z57" s="0" t="n">
        <v>-0.8649</v>
      </c>
      <c r="AA57" s="0" t="n">
        <v>-1</v>
      </c>
      <c r="AB57" s="0" t="n">
        <v>0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2" t="n">
        <v>46066</v>
      </c>
      <c r="D58" s="3" t="s">
        <v>383</v>
      </c>
      <c r="E58" s="3" t="s">
        <v>30</v>
      </c>
      <c r="F58" s="3" t="s">
        <v>31</v>
      </c>
      <c r="G58" s="3" t="s">
        <v>50</v>
      </c>
      <c r="H58" s="0" t="n">
        <v>99</v>
      </c>
      <c r="I58" s="0" t="n">
        <v>314.11</v>
      </c>
      <c r="J58" s="0" t="n">
        <v>345.9</v>
      </c>
      <c r="K58" s="2" t="n">
        <v>46064</v>
      </c>
      <c r="L58" s="3" t="s">
        <v>384</v>
      </c>
      <c r="M58" s="2" t="n">
        <v>46064</v>
      </c>
      <c r="N58" s="3" t="s">
        <v>301</v>
      </c>
      <c r="O58" s="2" t="n">
        <v>46065</v>
      </c>
      <c r="P58" s="3" t="s">
        <v>385</v>
      </c>
      <c r="Q58" s="3" t="s">
        <v>386</v>
      </c>
      <c r="R58" s="2" t="n">
        <v>46066</v>
      </c>
      <c r="S58" s="3" t="s">
        <v>219</v>
      </c>
      <c r="T58" s="3" t="s">
        <v>201</v>
      </c>
      <c r="U58" s="3" t="s">
        <v>39</v>
      </c>
      <c r="V58" s="3" t="s">
        <v>39</v>
      </c>
      <c r="W58" s="3" t="s">
        <v>39</v>
      </c>
      <c r="X58" s="0" t="n">
        <v>1.309</v>
      </c>
      <c r="Y58" s="0" t="n">
        <v>1.5</v>
      </c>
      <c r="Z58" s="0" t="n">
        <v>-0.191</v>
      </c>
      <c r="AA58" s="0" t="n">
        <v>-1</v>
      </c>
      <c r="AB58" s="0" t="n">
        <v>0</v>
      </c>
    </row>
    <row r="59" customFormat="false" ht="15" hidden="false" customHeight="false" outlineLevel="0" collapsed="false">
      <c r="A59" s="0" t="n">
        <v>58</v>
      </c>
      <c r="B59" s="0" t="s">
        <v>48</v>
      </c>
      <c r="C59" s="2" t="n">
        <v>46066</v>
      </c>
      <c r="D59" s="3" t="s">
        <v>387</v>
      </c>
      <c r="E59" s="3" t="s">
        <v>30</v>
      </c>
      <c r="F59" s="3" t="s">
        <v>31</v>
      </c>
      <c r="G59" s="3" t="s">
        <v>58</v>
      </c>
      <c r="H59" s="0" t="n">
        <v>180</v>
      </c>
      <c r="I59" s="0" t="n">
        <v>212</v>
      </c>
      <c r="J59" s="0" t="n">
        <v>233.64</v>
      </c>
      <c r="K59" s="2" t="n">
        <v>46063</v>
      </c>
      <c r="L59" s="3" t="s">
        <v>388</v>
      </c>
      <c r="M59" s="2" t="n">
        <v>46064</v>
      </c>
      <c r="N59" s="3" t="s">
        <v>389</v>
      </c>
      <c r="O59" s="2" t="n">
        <v>46063</v>
      </c>
      <c r="P59" s="3" t="s">
        <v>390</v>
      </c>
      <c r="Q59" s="3" t="s">
        <v>391</v>
      </c>
      <c r="R59" s="2" t="n">
        <v>46066</v>
      </c>
      <c r="S59" s="3" t="s">
        <v>392</v>
      </c>
      <c r="T59" s="3" t="s">
        <v>64</v>
      </c>
      <c r="U59" s="3" t="s">
        <v>39</v>
      </c>
      <c r="V59" s="3" t="s">
        <v>39</v>
      </c>
      <c r="W59" s="3" t="s">
        <v>39</v>
      </c>
      <c r="X59" s="0" t="n">
        <v>1.1412</v>
      </c>
      <c r="Y59" s="0" t="n">
        <v>1.5</v>
      </c>
      <c r="Z59" s="0" t="n">
        <v>-0.3588</v>
      </c>
      <c r="AA59" s="0" t="n">
        <v>-1</v>
      </c>
      <c r="AB59" s="0" t="n">
        <v>0</v>
      </c>
    </row>
    <row r="60" customFormat="false" ht="15" hidden="false" customHeight="false" outlineLevel="0" collapsed="false">
      <c r="A60" s="0" t="n">
        <v>59</v>
      </c>
      <c r="B60" s="0" t="s">
        <v>48</v>
      </c>
      <c r="C60" s="2" t="n">
        <v>46066</v>
      </c>
      <c r="D60" s="3" t="s">
        <v>393</v>
      </c>
      <c r="E60" s="3" t="s">
        <v>30</v>
      </c>
      <c r="F60" s="3" t="s">
        <v>31</v>
      </c>
      <c r="G60" s="3" t="s">
        <v>98</v>
      </c>
      <c r="H60" s="0" t="n">
        <v>1</v>
      </c>
      <c r="I60" s="0" t="n">
        <v>1105.31</v>
      </c>
      <c r="J60" s="0" t="n">
        <v>1105.47</v>
      </c>
      <c r="K60" s="2" t="n">
        <v>46063</v>
      </c>
      <c r="L60" s="3" t="s">
        <v>394</v>
      </c>
      <c r="M60" s="2" t="n">
        <v>46063</v>
      </c>
      <c r="N60" s="3" t="s">
        <v>395</v>
      </c>
      <c r="O60" s="2" t="n">
        <v>46064</v>
      </c>
      <c r="P60" s="3" t="s">
        <v>396</v>
      </c>
      <c r="Q60" s="3" t="s">
        <v>397</v>
      </c>
      <c r="R60" s="2" t="n">
        <v>46066</v>
      </c>
      <c r="S60" s="3" t="s">
        <v>398</v>
      </c>
      <c r="T60" s="3" t="s">
        <v>208</v>
      </c>
      <c r="U60" s="3" t="s">
        <v>243</v>
      </c>
      <c r="V60" s="3" t="s">
        <v>243</v>
      </c>
      <c r="W60" s="3" t="s">
        <v>243</v>
      </c>
      <c r="X60" s="0" t="n">
        <v>3.9775</v>
      </c>
      <c r="Y60" s="0" t="n">
        <v>1.5</v>
      </c>
      <c r="Z60" s="0" t="n">
        <v>2.4775</v>
      </c>
      <c r="AA60" s="0" t="n">
        <v>2</v>
      </c>
      <c r="AB60" s="0" t="n">
        <v>0</v>
      </c>
    </row>
    <row r="61" customFormat="false" ht="15" hidden="false" customHeight="false" outlineLevel="0" collapsed="false">
      <c r="A61" s="0" t="n">
        <v>60</v>
      </c>
      <c r="B61" s="0" t="s">
        <v>28</v>
      </c>
      <c r="C61" s="2" t="n">
        <v>46067</v>
      </c>
      <c r="D61" s="3" t="s">
        <v>399</v>
      </c>
      <c r="E61" s="3" t="s">
        <v>30</v>
      </c>
      <c r="F61" s="3" t="s">
        <v>31</v>
      </c>
      <c r="G61" s="3" t="s">
        <v>32</v>
      </c>
      <c r="H61" s="0" t="n">
        <v>44</v>
      </c>
      <c r="I61" s="0" t="n">
        <v>2659.8</v>
      </c>
      <c r="J61" s="0" t="n">
        <v>2660.13</v>
      </c>
      <c r="K61" s="2" t="n">
        <v>46064</v>
      </c>
      <c r="L61" s="3" t="s">
        <v>400</v>
      </c>
      <c r="M61" s="2" t="n">
        <v>46064</v>
      </c>
      <c r="N61" s="3" t="s">
        <v>401</v>
      </c>
      <c r="O61" s="2" t="n">
        <v>46064</v>
      </c>
      <c r="P61" s="3" t="s">
        <v>402</v>
      </c>
      <c r="Q61" s="3" t="s">
        <v>403</v>
      </c>
      <c r="R61" s="2" t="n">
        <v>46067</v>
      </c>
      <c r="S61" s="3" t="s">
        <v>404</v>
      </c>
      <c r="T61" s="3" t="s">
        <v>56</v>
      </c>
      <c r="U61" s="3" t="s">
        <v>39</v>
      </c>
      <c r="V61" s="3" t="s">
        <v>39</v>
      </c>
      <c r="W61" s="3" t="s">
        <v>39</v>
      </c>
      <c r="X61" s="0" t="n">
        <v>0.883</v>
      </c>
      <c r="Y61" s="0" t="n">
        <v>1.5</v>
      </c>
      <c r="Z61" s="0" t="n">
        <v>-0.617</v>
      </c>
      <c r="AA61" s="0" t="n">
        <v>-1</v>
      </c>
      <c r="AB61" s="0" t="n">
        <v>0</v>
      </c>
    </row>
    <row r="62" customFormat="false" ht="15" hidden="false" customHeight="false" outlineLevel="0" collapsed="false">
      <c r="A62" s="0" t="n">
        <v>61</v>
      </c>
      <c r="B62" s="0" t="s">
        <v>28</v>
      </c>
      <c r="C62" s="2" t="n">
        <v>46067</v>
      </c>
      <c r="D62" s="3" t="s">
        <v>405</v>
      </c>
      <c r="E62" s="3" t="s">
        <v>30</v>
      </c>
      <c r="F62" s="3" t="s">
        <v>31</v>
      </c>
      <c r="G62" s="3" t="s">
        <v>58</v>
      </c>
      <c r="H62" s="0" t="n">
        <v>132</v>
      </c>
      <c r="I62" s="0" t="n">
        <v>1265.29</v>
      </c>
      <c r="J62" s="0" t="n">
        <v>1898.23</v>
      </c>
      <c r="K62" s="2" t="n">
        <v>46064</v>
      </c>
      <c r="L62" s="3" t="s">
        <v>406</v>
      </c>
      <c r="M62" s="2" t="n">
        <v>46064</v>
      </c>
      <c r="N62" s="3" t="s">
        <v>407</v>
      </c>
      <c r="O62" s="2" t="n">
        <v>46064</v>
      </c>
      <c r="P62" s="3" t="s">
        <v>408</v>
      </c>
      <c r="Q62" s="3" t="s">
        <v>409</v>
      </c>
      <c r="R62" s="2" t="n">
        <v>46067</v>
      </c>
      <c r="S62" s="3" t="s">
        <v>410</v>
      </c>
      <c r="T62" s="3" t="s">
        <v>104</v>
      </c>
      <c r="U62" s="3" t="s">
        <v>367</v>
      </c>
      <c r="V62" s="3" t="s">
        <v>367</v>
      </c>
      <c r="W62" s="3" t="s">
        <v>367</v>
      </c>
      <c r="X62" s="0" t="n">
        <v>0.283</v>
      </c>
      <c r="Y62" s="0" t="n">
        <v>1.5</v>
      </c>
      <c r="Z62" s="0" t="n">
        <v>-1.217</v>
      </c>
      <c r="AA62" s="0" t="n">
        <v>-1</v>
      </c>
      <c r="AB62" s="0" t="n">
        <v>0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2" t="n">
        <v>46067</v>
      </c>
      <c r="D63" s="3" t="s">
        <v>411</v>
      </c>
      <c r="E63" s="3" t="s">
        <v>30</v>
      </c>
      <c r="F63" s="3" t="s">
        <v>31</v>
      </c>
      <c r="G63" s="3" t="s">
        <v>32</v>
      </c>
      <c r="H63" s="0" t="n">
        <v>197</v>
      </c>
      <c r="I63" s="0" t="n">
        <v>2181.5</v>
      </c>
      <c r="J63" s="0" t="n">
        <v>3272.71</v>
      </c>
      <c r="K63" s="2" t="n">
        <v>46065</v>
      </c>
      <c r="L63" s="3" t="s">
        <v>412</v>
      </c>
      <c r="M63" s="2" t="n">
        <v>46065</v>
      </c>
      <c r="N63" s="3" t="s">
        <v>413</v>
      </c>
      <c r="O63" s="2" t="n">
        <v>46065</v>
      </c>
      <c r="P63" s="3" t="s">
        <v>414</v>
      </c>
      <c r="Q63" s="3" t="s">
        <v>415</v>
      </c>
      <c r="R63" s="2" t="n">
        <v>46067</v>
      </c>
      <c r="S63" s="3" t="s">
        <v>416</v>
      </c>
      <c r="T63" s="3" t="s">
        <v>201</v>
      </c>
      <c r="U63" s="3" t="s">
        <v>39</v>
      </c>
      <c r="V63" s="3" t="s">
        <v>39</v>
      </c>
      <c r="W63" s="3" t="s">
        <v>39</v>
      </c>
      <c r="X63" s="0" t="n">
        <v>1.165</v>
      </c>
      <c r="Y63" s="0" t="n">
        <v>1.5</v>
      </c>
      <c r="Z63" s="0" t="n">
        <v>-0.335</v>
      </c>
      <c r="AA63" s="0" t="n">
        <v>-1</v>
      </c>
      <c r="AB63" s="0" t="n">
        <v>0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2" t="n">
        <v>46067</v>
      </c>
      <c r="D64" s="3" t="s">
        <v>417</v>
      </c>
      <c r="E64" s="3" t="s">
        <v>30</v>
      </c>
      <c r="F64" s="3" t="s">
        <v>31</v>
      </c>
      <c r="G64" s="3" t="s">
        <v>98</v>
      </c>
      <c r="H64" s="0" t="n">
        <v>121</v>
      </c>
      <c r="I64" s="0" t="n">
        <v>1648.81</v>
      </c>
      <c r="J64" s="0" t="n">
        <v>1648.87</v>
      </c>
      <c r="K64" s="2" t="n">
        <v>46065</v>
      </c>
      <c r="L64" s="3" t="s">
        <v>418</v>
      </c>
      <c r="M64" s="2" t="n">
        <v>46065</v>
      </c>
      <c r="N64" s="3" t="s">
        <v>342</v>
      </c>
      <c r="O64" s="2" t="n">
        <v>46066</v>
      </c>
      <c r="P64" s="3" t="s">
        <v>419</v>
      </c>
      <c r="Q64" s="3" t="s">
        <v>420</v>
      </c>
      <c r="R64" s="2" t="n">
        <v>46067</v>
      </c>
      <c r="S64" s="3" t="s">
        <v>421</v>
      </c>
      <c r="T64" s="3" t="s">
        <v>146</v>
      </c>
      <c r="U64" s="3" t="s">
        <v>39</v>
      </c>
      <c r="V64" s="3" t="s">
        <v>39</v>
      </c>
      <c r="W64" s="3" t="s">
        <v>39</v>
      </c>
      <c r="X64" s="0" t="n">
        <v>3.8486</v>
      </c>
      <c r="Y64" s="0" t="n">
        <v>1.5</v>
      </c>
      <c r="Z64" s="0" t="n">
        <v>2.3486</v>
      </c>
      <c r="AA64" s="0" t="n">
        <v>2</v>
      </c>
      <c r="AB64" s="0" t="n">
        <v>0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2" t="n">
        <v>46067</v>
      </c>
      <c r="D65" s="3" t="s">
        <v>422</v>
      </c>
      <c r="E65" s="3" t="s">
        <v>30</v>
      </c>
      <c r="F65" s="3" t="s">
        <v>31</v>
      </c>
      <c r="G65" s="3" t="s">
        <v>50</v>
      </c>
      <c r="H65" s="0" t="n">
        <v>184</v>
      </c>
      <c r="I65" s="0" t="n">
        <v>1954.92</v>
      </c>
      <c r="J65" s="0" t="n">
        <v>1955.27</v>
      </c>
      <c r="K65" s="2" t="n">
        <v>46066</v>
      </c>
      <c r="L65" s="3" t="s">
        <v>187</v>
      </c>
      <c r="M65" s="2" t="n">
        <v>46067</v>
      </c>
      <c r="N65" s="3" t="s">
        <v>423</v>
      </c>
      <c r="O65" s="2" t="n">
        <v>46067</v>
      </c>
      <c r="P65" s="3" t="s">
        <v>424</v>
      </c>
      <c r="Q65" s="3" t="s">
        <v>425</v>
      </c>
      <c r="R65" s="2" t="n">
        <v>46067</v>
      </c>
      <c r="S65" s="3" t="s">
        <v>426</v>
      </c>
      <c r="T65" s="3" t="s">
        <v>38</v>
      </c>
      <c r="U65" s="3" t="s">
        <v>39</v>
      </c>
      <c r="V65" s="3" t="s">
        <v>39</v>
      </c>
      <c r="W65" s="3" t="s">
        <v>39</v>
      </c>
      <c r="X65" s="0" t="n">
        <v>1.5249</v>
      </c>
      <c r="Y65" s="0" t="n">
        <v>1.5</v>
      </c>
      <c r="Z65" s="0" t="n">
        <v>0.0249</v>
      </c>
      <c r="AA65" s="0" t="n">
        <v>1</v>
      </c>
      <c r="AB65" s="0" t="n">
        <v>0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2" t="n">
        <v>46067</v>
      </c>
      <c r="D66" s="3" t="s">
        <v>427</v>
      </c>
      <c r="E66" s="3" t="s">
        <v>30</v>
      </c>
      <c r="F66" s="3" t="s">
        <v>31</v>
      </c>
      <c r="G66" s="3" t="s">
        <v>41</v>
      </c>
      <c r="H66" s="0" t="n">
        <v>18</v>
      </c>
      <c r="I66" s="0" t="n">
        <v>769.72</v>
      </c>
      <c r="J66" s="0" t="n">
        <v>770.03</v>
      </c>
      <c r="K66" s="2" t="n">
        <v>46064</v>
      </c>
      <c r="L66" s="3" t="s">
        <v>428</v>
      </c>
      <c r="M66" s="2" t="n">
        <v>46064</v>
      </c>
      <c r="N66" s="3" t="s">
        <v>429</v>
      </c>
      <c r="O66" s="2" t="n">
        <v>46064</v>
      </c>
      <c r="P66" s="3" t="s">
        <v>430</v>
      </c>
      <c r="Q66" s="3" t="s">
        <v>431</v>
      </c>
      <c r="R66" s="2" t="n">
        <v>46067</v>
      </c>
      <c r="S66" s="3" t="s">
        <v>432</v>
      </c>
      <c r="T66" s="3" t="s">
        <v>38</v>
      </c>
      <c r="U66" s="3" t="s">
        <v>39</v>
      </c>
      <c r="V66" s="3" t="s">
        <v>39</v>
      </c>
      <c r="W66" s="3" t="s">
        <v>39</v>
      </c>
      <c r="X66" s="0" t="n">
        <v>4.6543</v>
      </c>
      <c r="Y66" s="0" t="n">
        <v>1.5</v>
      </c>
      <c r="Z66" s="0" t="n">
        <v>3.1543</v>
      </c>
      <c r="AA66" s="0" t="n">
        <v>3</v>
      </c>
      <c r="AB66" s="0" t="n">
        <v>0</v>
      </c>
    </row>
    <row r="67" customFormat="false" ht="15" hidden="false" customHeight="false" outlineLevel="0" collapsed="false">
      <c r="A67" s="0" t="n">
        <v>66</v>
      </c>
      <c r="B67" s="0" t="s">
        <v>28</v>
      </c>
      <c r="C67" s="2" t="n">
        <v>46068</v>
      </c>
      <c r="D67" s="3" t="s">
        <v>433</v>
      </c>
      <c r="E67" s="3" t="s">
        <v>30</v>
      </c>
      <c r="F67" s="3" t="s">
        <v>31</v>
      </c>
      <c r="G67" s="3" t="s">
        <v>68</v>
      </c>
      <c r="H67" s="0" t="n">
        <v>42</v>
      </c>
      <c r="I67" s="0" t="n">
        <v>2961.45</v>
      </c>
      <c r="J67" s="0" t="n">
        <v>3257.94</v>
      </c>
      <c r="K67" s="2" t="n">
        <v>46065</v>
      </c>
      <c r="L67" s="3" t="s">
        <v>434</v>
      </c>
      <c r="M67" s="2" t="n">
        <v>46065</v>
      </c>
      <c r="N67" s="3" t="s">
        <v>435</v>
      </c>
      <c r="O67" s="2" t="n">
        <v>46066</v>
      </c>
      <c r="P67" s="3" t="s">
        <v>436</v>
      </c>
      <c r="Q67" s="3" t="s">
        <v>437</v>
      </c>
      <c r="R67" s="2" t="n">
        <v>46068</v>
      </c>
      <c r="S67" s="3" t="s">
        <v>438</v>
      </c>
      <c r="T67" s="3" t="s">
        <v>439</v>
      </c>
      <c r="U67" s="3" t="s">
        <v>39</v>
      </c>
      <c r="V67" s="3" t="s">
        <v>39</v>
      </c>
      <c r="W67" s="3" t="s">
        <v>39</v>
      </c>
      <c r="X67" s="0" t="n">
        <v>4.2792</v>
      </c>
      <c r="Y67" s="0" t="n">
        <v>1.5</v>
      </c>
      <c r="Z67" s="0" t="n">
        <v>2.7792</v>
      </c>
      <c r="AA67" s="0" t="n">
        <v>3</v>
      </c>
      <c r="AB67" s="0" t="n">
        <v>0</v>
      </c>
    </row>
    <row r="68" customFormat="false" ht="15" hidden="false" customHeight="false" outlineLevel="0" collapsed="false">
      <c r="A68" s="0" t="n">
        <v>67</v>
      </c>
      <c r="B68" s="0" t="s">
        <v>28</v>
      </c>
      <c r="C68" s="2" t="n">
        <v>46068</v>
      </c>
      <c r="D68" s="3" t="s">
        <v>440</v>
      </c>
      <c r="E68" s="3" t="s">
        <v>30</v>
      </c>
      <c r="F68" s="3" t="s">
        <v>31</v>
      </c>
      <c r="G68" s="3" t="s">
        <v>106</v>
      </c>
      <c r="H68" s="0" t="n">
        <v>193</v>
      </c>
      <c r="I68" s="0" t="n">
        <v>710.33</v>
      </c>
      <c r="J68" s="0" t="n">
        <v>710.49</v>
      </c>
      <c r="K68" s="2" t="n">
        <v>46066</v>
      </c>
      <c r="L68" s="3" t="s">
        <v>239</v>
      </c>
      <c r="M68" s="2" t="n">
        <v>46066</v>
      </c>
      <c r="N68" s="3" t="s">
        <v>441</v>
      </c>
      <c r="O68" s="2" t="n">
        <v>46067</v>
      </c>
      <c r="P68" s="3" t="s">
        <v>442</v>
      </c>
      <c r="Q68" s="3" t="s">
        <v>443</v>
      </c>
      <c r="R68" s="2" t="n">
        <v>46068</v>
      </c>
      <c r="S68" s="3" t="s">
        <v>444</v>
      </c>
      <c r="T68" s="3" t="s">
        <v>208</v>
      </c>
      <c r="U68" s="3" t="s">
        <v>39</v>
      </c>
      <c r="V68" s="3" t="s">
        <v>39</v>
      </c>
      <c r="W68" s="3" t="s">
        <v>39</v>
      </c>
      <c r="X68" s="0" t="n">
        <v>2.4723</v>
      </c>
      <c r="Y68" s="0" t="n">
        <v>1.5</v>
      </c>
      <c r="Z68" s="0" t="n">
        <v>0.9723</v>
      </c>
      <c r="AA68" s="0" t="n">
        <v>1</v>
      </c>
      <c r="AB68" s="0" t="n">
        <v>0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2" t="n">
        <v>46068</v>
      </c>
      <c r="D69" s="3" t="s">
        <v>445</v>
      </c>
      <c r="E69" s="3" t="s">
        <v>30</v>
      </c>
      <c r="F69" s="3" t="s">
        <v>31</v>
      </c>
      <c r="G69" s="3" t="s">
        <v>50</v>
      </c>
      <c r="H69" s="0" t="n">
        <v>212</v>
      </c>
      <c r="I69" s="0" t="n">
        <v>1703.11</v>
      </c>
      <c r="J69" s="0" t="n">
        <v>1703.34</v>
      </c>
      <c r="K69" s="2" t="n">
        <v>46066</v>
      </c>
      <c r="L69" s="3" t="s">
        <v>446</v>
      </c>
      <c r="M69" s="2" t="n">
        <v>46067</v>
      </c>
      <c r="N69" s="3" t="s">
        <v>340</v>
      </c>
      <c r="O69" s="2" t="n">
        <v>46067</v>
      </c>
      <c r="P69" s="3" t="s">
        <v>447</v>
      </c>
      <c r="Q69" s="3" t="s">
        <v>448</v>
      </c>
      <c r="R69" s="2" t="n">
        <v>46068</v>
      </c>
      <c r="S69" s="3" t="s">
        <v>449</v>
      </c>
      <c r="T69" s="3" t="s">
        <v>104</v>
      </c>
      <c r="U69" s="3" t="s">
        <v>39</v>
      </c>
      <c r="V69" s="3" t="s">
        <v>39</v>
      </c>
      <c r="W69" s="3" t="s">
        <v>39</v>
      </c>
      <c r="X69" s="0" t="n">
        <v>1.3056</v>
      </c>
      <c r="Y69" s="0" t="n">
        <v>1.5</v>
      </c>
      <c r="Z69" s="0" t="n">
        <v>-0.1944</v>
      </c>
      <c r="AA69" s="0" t="n">
        <v>-1</v>
      </c>
      <c r="AB69" s="0" t="n">
        <v>0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2" t="n">
        <v>46068</v>
      </c>
      <c r="D70" s="3" t="s">
        <v>450</v>
      </c>
      <c r="E70" s="3" t="s">
        <v>30</v>
      </c>
      <c r="F70" s="3" t="s">
        <v>31</v>
      </c>
      <c r="G70" s="3" t="s">
        <v>32</v>
      </c>
      <c r="H70" s="0" t="n">
        <v>76</v>
      </c>
      <c r="I70" s="0" t="n">
        <v>978.56</v>
      </c>
      <c r="J70" s="0" t="n">
        <v>978.59</v>
      </c>
      <c r="K70" s="2" t="n">
        <v>46066</v>
      </c>
      <c r="L70" s="3" t="s">
        <v>451</v>
      </c>
      <c r="M70" s="2" t="n">
        <v>46066</v>
      </c>
      <c r="N70" s="3" t="s">
        <v>369</v>
      </c>
      <c r="O70" s="2" t="n">
        <v>46066</v>
      </c>
      <c r="P70" s="3" t="s">
        <v>286</v>
      </c>
      <c r="Q70" s="3" t="s">
        <v>452</v>
      </c>
      <c r="R70" s="2" t="n">
        <v>46068</v>
      </c>
      <c r="S70" s="3" t="s">
        <v>453</v>
      </c>
      <c r="T70" s="3" t="s">
        <v>104</v>
      </c>
      <c r="U70" s="3" t="s">
        <v>39</v>
      </c>
      <c r="V70" s="3" t="s">
        <v>39</v>
      </c>
      <c r="W70" s="3" t="s">
        <v>39</v>
      </c>
      <c r="X70" s="0" t="n">
        <v>3.3349</v>
      </c>
      <c r="Y70" s="0" t="n">
        <v>1.5</v>
      </c>
      <c r="Z70" s="0" t="n">
        <v>1.8349</v>
      </c>
      <c r="AA70" s="0" t="n">
        <v>2</v>
      </c>
      <c r="AB70" s="0" t="n">
        <v>0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2" t="n">
        <v>46068</v>
      </c>
      <c r="D71" s="3" t="s">
        <v>454</v>
      </c>
      <c r="E71" s="3" t="s">
        <v>30</v>
      </c>
      <c r="F71" s="3" t="s">
        <v>31</v>
      </c>
      <c r="G71" s="3" t="s">
        <v>58</v>
      </c>
      <c r="H71" s="0" t="n">
        <v>155</v>
      </c>
      <c r="I71" s="0" t="n">
        <v>1921.53</v>
      </c>
      <c r="J71" s="0" t="n">
        <v>2882.63</v>
      </c>
      <c r="K71" s="2" t="n">
        <v>46067</v>
      </c>
      <c r="L71" s="3" t="s">
        <v>455</v>
      </c>
      <c r="M71" s="2" t="n">
        <v>46067</v>
      </c>
      <c r="N71" s="3" t="s">
        <v>456</v>
      </c>
      <c r="O71" s="2" t="n">
        <v>46068</v>
      </c>
      <c r="P71" s="3" t="s">
        <v>457</v>
      </c>
      <c r="Q71" s="3" t="s">
        <v>458</v>
      </c>
      <c r="R71" s="2" t="n">
        <v>46068</v>
      </c>
      <c r="S71" s="3" t="s">
        <v>459</v>
      </c>
      <c r="T71" s="3" t="s">
        <v>64</v>
      </c>
      <c r="U71" s="3" t="s">
        <v>243</v>
      </c>
      <c r="V71" s="3" t="s">
        <v>243</v>
      </c>
      <c r="W71" s="3" t="s">
        <v>243</v>
      </c>
      <c r="X71" s="0" t="n">
        <v>3.2206</v>
      </c>
      <c r="Y71" s="0" t="n">
        <v>1.5</v>
      </c>
      <c r="Z71" s="0" t="n">
        <v>1.7206</v>
      </c>
      <c r="AA71" s="0" t="n">
        <v>2</v>
      </c>
      <c r="AB71" s="0" t="n">
        <v>0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2" t="n">
        <v>46068</v>
      </c>
      <c r="D72" s="3" t="s">
        <v>460</v>
      </c>
      <c r="E72" s="3" t="s">
        <v>30</v>
      </c>
      <c r="F72" s="3" t="s">
        <v>31</v>
      </c>
      <c r="G72" s="3" t="s">
        <v>58</v>
      </c>
      <c r="H72" s="0" t="n">
        <v>195</v>
      </c>
      <c r="I72" s="0" t="n">
        <v>1908.13</v>
      </c>
      <c r="J72" s="0" t="n">
        <v>1908.19</v>
      </c>
      <c r="K72" s="2" t="n">
        <v>46066</v>
      </c>
      <c r="L72" s="3" t="s">
        <v>461</v>
      </c>
      <c r="M72" s="2" t="n">
        <v>46066</v>
      </c>
      <c r="N72" s="3" t="s">
        <v>156</v>
      </c>
      <c r="O72" s="2" t="n">
        <v>46066</v>
      </c>
      <c r="P72" s="3" t="s">
        <v>462</v>
      </c>
      <c r="Q72" s="3" t="s">
        <v>463</v>
      </c>
      <c r="R72" s="2" t="n">
        <v>46068</v>
      </c>
      <c r="S72" s="3" t="s">
        <v>464</v>
      </c>
      <c r="T72" s="3" t="s">
        <v>96</v>
      </c>
      <c r="U72" s="3" t="s">
        <v>39</v>
      </c>
      <c r="V72" s="3" t="s">
        <v>39</v>
      </c>
      <c r="W72" s="3" t="s">
        <v>39</v>
      </c>
      <c r="X72" s="0" t="n">
        <v>0.6299</v>
      </c>
      <c r="Y72" s="0" t="n">
        <v>1.5</v>
      </c>
      <c r="Z72" s="0" t="n">
        <v>-0.8701</v>
      </c>
      <c r="AA72" s="0" t="n">
        <v>-1</v>
      </c>
      <c r="AB72" s="0" t="n">
        <v>0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2" t="n">
        <v>46068</v>
      </c>
      <c r="D73" s="3" t="s">
        <v>465</v>
      </c>
      <c r="E73" s="3" t="s">
        <v>30</v>
      </c>
      <c r="F73" s="3" t="s">
        <v>31</v>
      </c>
      <c r="G73" s="3" t="s">
        <v>106</v>
      </c>
      <c r="H73" s="0" t="n">
        <v>124</v>
      </c>
      <c r="I73" s="0" t="n">
        <v>772.34</v>
      </c>
      <c r="J73" s="0" t="n">
        <v>1004.33</v>
      </c>
      <c r="K73" s="2" t="n">
        <v>46067</v>
      </c>
      <c r="L73" s="3" t="s">
        <v>466</v>
      </c>
      <c r="M73" s="2" t="n">
        <v>46068</v>
      </c>
      <c r="N73" s="3" t="s">
        <v>272</v>
      </c>
      <c r="O73" s="2" t="n">
        <v>46067</v>
      </c>
      <c r="P73" s="3" t="s">
        <v>467</v>
      </c>
      <c r="Q73" s="3" t="s">
        <v>468</v>
      </c>
      <c r="R73" s="2" t="n">
        <v>46068</v>
      </c>
      <c r="S73" s="3" t="s">
        <v>469</v>
      </c>
      <c r="T73" s="3" t="s">
        <v>324</v>
      </c>
      <c r="U73" s="3" t="s">
        <v>39</v>
      </c>
      <c r="V73" s="3" t="s">
        <v>39</v>
      </c>
      <c r="W73" s="3" t="s">
        <v>39</v>
      </c>
      <c r="X73" s="0" t="n">
        <v>2.5781</v>
      </c>
      <c r="Y73" s="0" t="n">
        <v>1.5</v>
      </c>
      <c r="Z73" s="0" t="n">
        <v>1.0781</v>
      </c>
      <c r="AA73" s="0" t="n">
        <v>1</v>
      </c>
      <c r="AB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2"/>
  </cols>
  <sheetData>
    <row r="4" customFormat="false" ht="15" hidden="false" customHeight="false" outlineLevel="0" collapsed="false">
      <c r="B4" s="4" t="s">
        <v>470</v>
      </c>
    </row>
    <row r="5" customFormat="false" ht="23.85" hidden="false" customHeight="false" outlineLevel="0" collapsed="false">
      <c r="A5" s="1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22</v>
      </c>
      <c r="I5" s="1" t="s">
        <v>471</v>
      </c>
      <c r="J5" s="1" t="s">
        <v>472</v>
      </c>
      <c r="K5" s="1" t="s">
        <v>473</v>
      </c>
    </row>
    <row r="6" customFormat="false" ht="15" hidden="false" customHeight="false" outlineLevel="0" collapsed="false">
      <c r="B6" s="0" t="s">
        <v>28</v>
      </c>
      <c r="C6" s="5" t="n">
        <v>46054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39</v>
      </c>
      <c r="I6" s="0" t="n">
        <v>131</v>
      </c>
      <c r="J6" s="0" t="n">
        <v>632.55</v>
      </c>
      <c r="K6" s="0" t="n">
        <v>632.99</v>
      </c>
    </row>
    <row r="7" customFormat="false" ht="15" hidden="false" customHeight="false" outlineLevel="0" collapsed="false">
      <c r="B7" s="0" t="s">
        <v>28</v>
      </c>
      <c r="C7" s="5" t="n">
        <v>46054</v>
      </c>
      <c r="D7" s="3" t="s">
        <v>40</v>
      </c>
      <c r="E7" s="3" t="s">
        <v>30</v>
      </c>
      <c r="F7" s="3" t="s">
        <v>31</v>
      </c>
      <c r="G7" s="3" t="s">
        <v>41</v>
      </c>
      <c r="H7" s="3" t="s">
        <v>39</v>
      </c>
      <c r="I7" s="0" t="n">
        <v>44</v>
      </c>
      <c r="J7" s="0" t="n">
        <v>3043.96</v>
      </c>
      <c r="K7" s="0" t="n">
        <v>4566.3</v>
      </c>
    </row>
    <row r="8" customFormat="false" ht="15" hidden="false" customHeight="false" outlineLevel="0" collapsed="false">
      <c r="B8" s="0" t="s">
        <v>48</v>
      </c>
      <c r="C8" s="5" t="n">
        <v>46054</v>
      </c>
      <c r="D8" s="3" t="s">
        <v>49</v>
      </c>
      <c r="E8" s="3" t="s">
        <v>30</v>
      </c>
      <c r="F8" s="3" t="s">
        <v>31</v>
      </c>
      <c r="G8" s="3" t="s">
        <v>50</v>
      </c>
      <c r="H8" s="3" t="s">
        <v>39</v>
      </c>
      <c r="I8" s="0" t="n">
        <v>10</v>
      </c>
      <c r="J8" s="0" t="n">
        <v>2947.21</v>
      </c>
      <c r="K8" s="0" t="n">
        <v>2947.58</v>
      </c>
    </row>
    <row r="9" customFormat="false" ht="15" hidden="false" customHeight="false" outlineLevel="0" collapsed="false">
      <c r="B9" s="0" t="s">
        <v>48</v>
      </c>
      <c r="C9" s="5" t="n">
        <v>46054</v>
      </c>
      <c r="D9" s="3" t="s">
        <v>57</v>
      </c>
      <c r="E9" s="3" t="s">
        <v>30</v>
      </c>
      <c r="F9" s="3" t="s">
        <v>31</v>
      </c>
      <c r="G9" s="3" t="s">
        <v>58</v>
      </c>
      <c r="H9" s="3" t="s">
        <v>65</v>
      </c>
      <c r="I9" s="0" t="n">
        <v>120</v>
      </c>
      <c r="J9" s="0" t="n">
        <v>2000.34</v>
      </c>
      <c r="K9" s="0" t="n">
        <v>2000.81</v>
      </c>
    </row>
    <row r="10" customFormat="false" ht="15" hidden="false" customHeight="false" outlineLevel="0" collapsed="false">
      <c r="B10" s="0" t="s">
        <v>28</v>
      </c>
      <c r="C10" s="5" t="n">
        <v>46055</v>
      </c>
      <c r="D10" s="3" t="s">
        <v>66</v>
      </c>
      <c r="E10" s="3" t="s">
        <v>67</v>
      </c>
      <c r="F10" s="3" t="s">
        <v>31</v>
      </c>
      <c r="G10" s="3" t="s">
        <v>68</v>
      </c>
      <c r="H10" s="3" t="s">
        <v>74</v>
      </c>
      <c r="I10" s="0" t="n">
        <v>85</v>
      </c>
      <c r="J10" s="0" t="n">
        <v>748.65</v>
      </c>
      <c r="K10" s="0" t="n">
        <v>973.36</v>
      </c>
    </row>
    <row r="11" customFormat="false" ht="15" hidden="false" customHeight="false" outlineLevel="0" collapsed="false">
      <c r="B11" s="0" t="s">
        <v>28</v>
      </c>
      <c r="C11" s="5" t="n">
        <v>46055</v>
      </c>
      <c r="D11" s="3" t="s">
        <v>75</v>
      </c>
      <c r="E11" s="3" t="s">
        <v>30</v>
      </c>
      <c r="F11" s="3" t="s">
        <v>31</v>
      </c>
      <c r="G11" s="3" t="s">
        <v>76</v>
      </c>
      <c r="H11" s="3" t="s">
        <v>39</v>
      </c>
      <c r="I11" s="0" t="n">
        <v>148</v>
      </c>
      <c r="J11" s="0" t="n">
        <v>905.48</v>
      </c>
      <c r="K11" s="0" t="n">
        <v>905.77</v>
      </c>
    </row>
    <row r="12" customFormat="false" ht="15" hidden="false" customHeight="false" outlineLevel="0" collapsed="false">
      <c r="B12" s="0" t="s">
        <v>48</v>
      </c>
      <c r="C12" s="5" t="n">
        <v>46055</v>
      </c>
      <c r="D12" s="3" t="s">
        <v>82</v>
      </c>
      <c r="E12" s="3" t="s">
        <v>30</v>
      </c>
      <c r="F12" s="3" t="s">
        <v>31</v>
      </c>
      <c r="G12" s="3" t="s">
        <v>68</v>
      </c>
      <c r="H12" s="3" t="s">
        <v>89</v>
      </c>
      <c r="I12" s="0" t="n">
        <v>186</v>
      </c>
      <c r="J12" s="0" t="n">
        <v>1472.3</v>
      </c>
      <c r="K12" s="0" t="n">
        <v>1914.14</v>
      </c>
    </row>
    <row r="13" customFormat="false" ht="15" hidden="false" customHeight="false" outlineLevel="0" collapsed="false">
      <c r="B13" s="0" t="s">
        <v>48</v>
      </c>
      <c r="C13" s="5" t="n">
        <v>46055</v>
      </c>
      <c r="D13" s="3" t="s">
        <v>90</v>
      </c>
      <c r="E13" s="3" t="s">
        <v>30</v>
      </c>
      <c r="F13" s="3" t="s">
        <v>31</v>
      </c>
      <c r="G13" s="3" t="s">
        <v>58</v>
      </c>
      <c r="H13" s="3" t="s">
        <v>89</v>
      </c>
      <c r="I13" s="0" t="n">
        <v>81</v>
      </c>
      <c r="J13" s="0" t="n">
        <v>1416.57</v>
      </c>
      <c r="K13" s="0" t="n">
        <v>1841.82</v>
      </c>
    </row>
    <row r="14" customFormat="false" ht="15" hidden="false" customHeight="false" outlineLevel="0" collapsed="false">
      <c r="B14" s="0" t="s">
        <v>28</v>
      </c>
      <c r="C14" s="5" t="n">
        <v>46056</v>
      </c>
      <c r="D14" s="3" t="s">
        <v>97</v>
      </c>
      <c r="E14" s="3" t="s">
        <v>30</v>
      </c>
      <c r="F14" s="3" t="s">
        <v>31</v>
      </c>
      <c r="G14" s="3" t="s">
        <v>98</v>
      </c>
      <c r="H14" s="3" t="s">
        <v>39</v>
      </c>
      <c r="I14" s="0" t="n">
        <v>184</v>
      </c>
      <c r="J14" s="0" t="n">
        <v>2660.62</v>
      </c>
      <c r="K14" s="0" t="n">
        <v>3991.04</v>
      </c>
    </row>
    <row r="15" customFormat="false" ht="15" hidden="false" customHeight="false" outlineLevel="0" collapsed="false">
      <c r="B15" s="0" t="s">
        <v>28</v>
      </c>
      <c r="C15" s="5" t="n">
        <v>46056</v>
      </c>
      <c r="D15" s="3" t="s">
        <v>105</v>
      </c>
      <c r="E15" s="3" t="s">
        <v>30</v>
      </c>
      <c r="F15" s="3" t="s">
        <v>31</v>
      </c>
      <c r="G15" s="3" t="s">
        <v>106</v>
      </c>
      <c r="H15" s="3" t="s">
        <v>39</v>
      </c>
      <c r="I15" s="0" t="n">
        <v>143</v>
      </c>
      <c r="J15" s="0" t="n">
        <v>818.86</v>
      </c>
      <c r="K15" s="0" t="n">
        <v>1064.59</v>
      </c>
    </row>
    <row r="16" customFormat="false" ht="15" hidden="false" customHeight="false" outlineLevel="0" collapsed="false">
      <c r="B16" s="0" t="s">
        <v>28</v>
      </c>
      <c r="C16" s="5" t="n">
        <v>46056</v>
      </c>
      <c r="D16" s="3" t="s">
        <v>112</v>
      </c>
      <c r="E16" s="3" t="s">
        <v>67</v>
      </c>
      <c r="F16" s="3" t="s">
        <v>31</v>
      </c>
      <c r="G16" s="3" t="s">
        <v>68</v>
      </c>
      <c r="H16" s="3" t="s">
        <v>39</v>
      </c>
      <c r="I16" s="0" t="n">
        <v>216</v>
      </c>
      <c r="J16" s="0" t="n">
        <v>2056.92</v>
      </c>
      <c r="K16" s="0" t="n">
        <v>2057.24</v>
      </c>
    </row>
    <row r="17" customFormat="false" ht="15" hidden="false" customHeight="false" outlineLevel="0" collapsed="false">
      <c r="B17" s="0" t="s">
        <v>48</v>
      </c>
      <c r="C17" s="5" t="n">
        <v>46056</v>
      </c>
      <c r="D17" s="3" t="s">
        <v>118</v>
      </c>
      <c r="E17" s="3" t="s">
        <v>30</v>
      </c>
      <c r="F17" s="3" t="s">
        <v>31</v>
      </c>
      <c r="G17" s="3" t="s">
        <v>76</v>
      </c>
      <c r="H17" s="3" t="s">
        <v>39</v>
      </c>
      <c r="I17" s="0" t="n">
        <v>21</v>
      </c>
      <c r="J17" s="0" t="n">
        <v>2136.44</v>
      </c>
      <c r="K17" s="0" t="n">
        <v>2136.46</v>
      </c>
    </row>
    <row r="18" customFormat="false" ht="15" hidden="false" customHeight="false" outlineLevel="0" collapsed="false">
      <c r="B18" s="0" t="s">
        <v>48</v>
      </c>
      <c r="C18" s="5" t="n">
        <v>46056</v>
      </c>
      <c r="D18" s="3" t="s">
        <v>125</v>
      </c>
      <c r="E18" s="3" t="s">
        <v>30</v>
      </c>
      <c r="F18" s="3" t="s">
        <v>31</v>
      </c>
      <c r="G18" s="3" t="s">
        <v>50</v>
      </c>
      <c r="H18" s="3" t="s">
        <v>39</v>
      </c>
      <c r="I18" s="0" t="n">
        <v>135</v>
      </c>
      <c r="J18" s="0" t="n">
        <v>1128.35</v>
      </c>
      <c r="K18" s="0" t="n">
        <v>1128.58</v>
      </c>
    </row>
    <row r="19" customFormat="false" ht="15" hidden="false" customHeight="false" outlineLevel="0" collapsed="false">
      <c r="B19" s="0" t="s">
        <v>28</v>
      </c>
      <c r="C19" s="5" t="n">
        <v>46057</v>
      </c>
      <c r="D19" s="3" t="s">
        <v>132</v>
      </c>
      <c r="E19" s="3" t="s">
        <v>30</v>
      </c>
      <c r="F19" s="3" t="s">
        <v>31</v>
      </c>
      <c r="G19" s="3" t="s">
        <v>41</v>
      </c>
      <c r="H19" s="3" t="s">
        <v>138</v>
      </c>
      <c r="I19" s="0" t="n">
        <v>156</v>
      </c>
      <c r="J19" s="0" t="n">
        <v>2633.27</v>
      </c>
      <c r="K19" s="0" t="n">
        <v>2633.72</v>
      </c>
    </row>
    <row r="20" customFormat="false" ht="15" hidden="false" customHeight="false" outlineLevel="0" collapsed="false">
      <c r="B20" s="0" t="s">
        <v>28</v>
      </c>
      <c r="C20" s="5" t="n">
        <v>46057</v>
      </c>
      <c r="D20" s="3" t="s">
        <v>139</v>
      </c>
      <c r="E20" s="3" t="s">
        <v>67</v>
      </c>
      <c r="F20" s="3" t="s">
        <v>31</v>
      </c>
      <c r="G20" s="3" t="s">
        <v>140</v>
      </c>
      <c r="H20" s="3" t="s">
        <v>39</v>
      </c>
      <c r="I20" s="0" t="n">
        <v>6</v>
      </c>
      <c r="J20" s="0" t="n">
        <v>2590.9</v>
      </c>
      <c r="K20" s="0" t="n">
        <v>2591.12</v>
      </c>
    </row>
    <row r="21" customFormat="false" ht="15" hidden="false" customHeight="false" outlineLevel="0" collapsed="false">
      <c r="B21" s="0" t="s">
        <v>48</v>
      </c>
      <c r="C21" s="5" t="n">
        <v>46057</v>
      </c>
      <c r="D21" s="3" t="s">
        <v>147</v>
      </c>
      <c r="E21" s="3" t="s">
        <v>30</v>
      </c>
      <c r="F21" s="3" t="s">
        <v>31</v>
      </c>
      <c r="G21" s="3" t="s">
        <v>76</v>
      </c>
      <c r="H21" s="3" t="s">
        <v>39</v>
      </c>
      <c r="I21" s="0" t="n">
        <v>37</v>
      </c>
      <c r="J21" s="0" t="n">
        <v>2472.85</v>
      </c>
      <c r="K21" s="0" t="n">
        <v>2472.88</v>
      </c>
    </row>
    <row r="22" customFormat="false" ht="15" hidden="false" customHeight="false" outlineLevel="0" collapsed="false">
      <c r="B22" s="0" t="s">
        <v>28</v>
      </c>
      <c r="C22" s="5" t="n">
        <v>46058</v>
      </c>
      <c r="D22" s="3" t="s">
        <v>154</v>
      </c>
      <c r="E22" s="3" t="s">
        <v>30</v>
      </c>
      <c r="F22" s="3" t="s">
        <v>31</v>
      </c>
      <c r="G22" s="3" t="s">
        <v>50</v>
      </c>
      <c r="H22" s="3" t="s">
        <v>39</v>
      </c>
      <c r="I22" s="0" t="n">
        <v>130</v>
      </c>
      <c r="J22" s="0" t="n">
        <v>2689.59</v>
      </c>
      <c r="K22" s="0" t="n">
        <v>3496.72</v>
      </c>
    </row>
    <row r="23" customFormat="false" ht="15" hidden="false" customHeight="false" outlineLevel="0" collapsed="false">
      <c r="B23" s="0" t="s">
        <v>48</v>
      </c>
      <c r="C23" s="5" t="n">
        <v>46058</v>
      </c>
      <c r="D23" s="3" t="s">
        <v>160</v>
      </c>
      <c r="E23" s="3" t="s">
        <v>30</v>
      </c>
      <c r="F23" s="3" t="s">
        <v>31</v>
      </c>
      <c r="G23" s="3" t="s">
        <v>50</v>
      </c>
      <c r="H23" s="3" t="s">
        <v>39</v>
      </c>
      <c r="I23" s="0" t="n">
        <v>128</v>
      </c>
      <c r="J23" s="0" t="n">
        <v>3048.01</v>
      </c>
      <c r="K23" s="0" t="n">
        <v>3048.12</v>
      </c>
    </row>
    <row r="24" customFormat="false" ht="15" hidden="false" customHeight="false" outlineLevel="0" collapsed="false">
      <c r="B24" s="0" t="s">
        <v>48</v>
      </c>
      <c r="C24" s="5" t="n">
        <v>46058</v>
      </c>
      <c r="D24" s="3" t="s">
        <v>166</v>
      </c>
      <c r="E24" s="3" t="s">
        <v>30</v>
      </c>
      <c r="F24" s="3" t="s">
        <v>31</v>
      </c>
      <c r="G24" s="3" t="s">
        <v>58</v>
      </c>
      <c r="H24" s="3" t="s">
        <v>39</v>
      </c>
      <c r="I24" s="0" t="n">
        <v>139</v>
      </c>
      <c r="J24" s="0" t="n">
        <v>36.02</v>
      </c>
      <c r="K24" s="0" t="n">
        <v>36.36</v>
      </c>
    </row>
    <row r="25" customFormat="false" ht="15" hidden="false" customHeight="false" outlineLevel="0" collapsed="false">
      <c r="B25" s="0" t="s">
        <v>28</v>
      </c>
      <c r="C25" s="5" t="n">
        <v>46059</v>
      </c>
      <c r="D25" s="3" t="s">
        <v>172</v>
      </c>
      <c r="E25" s="3" t="s">
        <v>30</v>
      </c>
      <c r="F25" s="3" t="s">
        <v>31</v>
      </c>
      <c r="G25" s="3" t="s">
        <v>50</v>
      </c>
      <c r="H25" s="3" t="s">
        <v>39</v>
      </c>
      <c r="I25" s="0" t="n">
        <v>206</v>
      </c>
      <c r="J25" s="0" t="n">
        <v>1016.42</v>
      </c>
      <c r="K25" s="0" t="n">
        <v>1524.95</v>
      </c>
    </row>
    <row r="26" customFormat="false" ht="15" hidden="false" customHeight="false" outlineLevel="0" collapsed="false">
      <c r="B26" s="0" t="s">
        <v>28</v>
      </c>
      <c r="C26" s="5" t="n">
        <v>46059</v>
      </c>
      <c r="D26" s="3" t="s">
        <v>178</v>
      </c>
      <c r="E26" s="3" t="s">
        <v>30</v>
      </c>
      <c r="F26" s="3" t="s">
        <v>31</v>
      </c>
      <c r="G26" s="3" t="s">
        <v>50</v>
      </c>
      <c r="H26" s="3" t="s">
        <v>183</v>
      </c>
      <c r="I26" s="0" t="n">
        <v>25</v>
      </c>
      <c r="J26" s="0" t="n">
        <v>417.3</v>
      </c>
      <c r="K26" s="0" t="n">
        <v>542.89</v>
      </c>
    </row>
    <row r="27" customFormat="false" ht="15" hidden="false" customHeight="false" outlineLevel="0" collapsed="false">
      <c r="B27" s="0" t="s">
        <v>28</v>
      </c>
      <c r="C27" s="5" t="n">
        <v>46059</v>
      </c>
      <c r="D27" s="3" t="s">
        <v>184</v>
      </c>
      <c r="E27" s="3" t="s">
        <v>67</v>
      </c>
      <c r="F27" s="3" t="s">
        <v>31</v>
      </c>
      <c r="G27" s="3" t="s">
        <v>98</v>
      </c>
      <c r="H27" s="3" t="s">
        <v>74</v>
      </c>
      <c r="I27" s="0" t="n">
        <v>203</v>
      </c>
      <c r="J27" s="0" t="n">
        <v>836.91</v>
      </c>
      <c r="K27" s="0" t="n">
        <v>1088.35</v>
      </c>
    </row>
    <row r="28" customFormat="false" ht="15" hidden="false" customHeight="false" outlineLevel="0" collapsed="false">
      <c r="B28" s="0" t="s">
        <v>28</v>
      </c>
      <c r="C28" s="5" t="n">
        <v>46059</v>
      </c>
      <c r="D28" s="3" t="s">
        <v>190</v>
      </c>
      <c r="E28" s="3" t="s">
        <v>30</v>
      </c>
      <c r="F28" s="3" t="s">
        <v>31</v>
      </c>
      <c r="G28" s="3" t="s">
        <v>58</v>
      </c>
      <c r="H28" s="3" t="s">
        <v>39</v>
      </c>
      <c r="I28" s="0" t="n">
        <v>176</v>
      </c>
      <c r="J28" s="0" t="n">
        <v>2678.09</v>
      </c>
      <c r="K28" s="0" t="n">
        <v>2946.33</v>
      </c>
    </row>
    <row r="29" customFormat="false" ht="15" hidden="false" customHeight="false" outlineLevel="0" collapsed="false">
      <c r="B29" s="0" t="s">
        <v>28</v>
      </c>
      <c r="C29" s="5" t="n">
        <v>46060</v>
      </c>
      <c r="D29" s="3" t="s">
        <v>196</v>
      </c>
      <c r="E29" s="3" t="s">
        <v>30</v>
      </c>
      <c r="F29" s="3" t="s">
        <v>31</v>
      </c>
      <c r="G29" s="3" t="s">
        <v>68</v>
      </c>
      <c r="H29" s="3" t="s">
        <v>138</v>
      </c>
      <c r="I29" s="0" t="n">
        <v>35</v>
      </c>
      <c r="J29" s="0" t="n">
        <v>2445.15</v>
      </c>
      <c r="K29" s="0" t="n">
        <v>2445.3</v>
      </c>
    </row>
    <row r="30" customFormat="false" ht="15" hidden="false" customHeight="false" outlineLevel="0" collapsed="false">
      <c r="B30" s="0" t="s">
        <v>28</v>
      </c>
      <c r="C30" s="5" t="n">
        <v>46060</v>
      </c>
      <c r="D30" s="3" t="s">
        <v>202</v>
      </c>
      <c r="E30" s="3" t="s">
        <v>30</v>
      </c>
      <c r="F30" s="3" t="s">
        <v>31</v>
      </c>
      <c r="G30" s="3" t="s">
        <v>32</v>
      </c>
      <c r="H30" s="3" t="s">
        <v>39</v>
      </c>
      <c r="I30" s="0" t="n">
        <v>182</v>
      </c>
      <c r="J30" s="0" t="n">
        <v>355.17</v>
      </c>
      <c r="K30" s="0" t="n">
        <v>355.43</v>
      </c>
    </row>
    <row r="31" customFormat="false" ht="15" hidden="false" customHeight="false" outlineLevel="0" collapsed="false">
      <c r="B31" s="0" t="s">
        <v>28</v>
      </c>
      <c r="C31" s="5" t="n">
        <v>46060</v>
      </c>
      <c r="D31" s="3" t="s">
        <v>209</v>
      </c>
      <c r="E31" s="3" t="s">
        <v>30</v>
      </c>
      <c r="F31" s="3" t="s">
        <v>31</v>
      </c>
      <c r="G31" s="3" t="s">
        <v>41</v>
      </c>
      <c r="H31" s="3" t="s">
        <v>138</v>
      </c>
      <c r="I31" s="0" t="n">
        <v>183</v>
      </c>
      <c r="J31" s="0" t="n">
        <v>857.59</v>
      </c>
      <c r="K31" s="0" t="n">
        <v>857.74</v>
      </c>
    </row>
    <row r="32" customFormat="false" ht="15" hidden="false" customHeight="false" outlineLevel="0" collapsed="false">
      <c r="B32" s="0" t="s">
        <v>28</v>
      </c>
      <c r="C32" s="5" t="n">
        <v>46060</v>
      </c>
      <c r="D32" s="3" t="s">
        <v>214</v>
      </c>
      <c r="E32" s="3" t="s">
        <v>67</v>
      </c>
      <c r="F32" s="3" t="s">
        <v>31</v>
      </c>
      <c r="G32" s="3" t="s">
        <v>41</v>
      </c>
      <c r="H32" s="3" t="s">
        <v>138</v>
      </c>
      <c r="I32" s="0" t="n">
        <v>147</v>
      </c>
      <c r="J32" s="0" t="n">
        <v>147.57</v>
      </c>
      <c r="K32" s="0" t="n">
        <v>147.67</v>
      </c>
    </row>
    <row r="33" customFormat="false" ht="15" hidden="false" customHeight="false" outlineLevel="0" collapsed="false">
      <c r="B33" s="0" t="s">
        <v>48</v>
      </c>
      <c r="C33" s="5" t="n">
        <v>46060</v>
      </c>
      <c r="D33" s="3" t="s">
        <v>220</v>
      </c>
      <c r="E33" s="3" t="s">
        <v>30</v>
      </c>
      <c r="F33" s="3" t="s">
        <v>31</v>
      </c>
      <c r="G33" s="3" t="s">
        <v>140</v>
      </c>
      <c r="H33" s="3" t="s">
        <v>74</v>
      </c>
      <c r="I33" s="0" t="n">
        <v>220</v>
      </c>
      <c r="J33" s="0" t="n">
        <v>347.17</v>
      </c>
      <c r="K33" s="0" t="n">
        <v>382.1</v>
      </c>
    </row>
    <row r="34" customFormat="false" ht="15" hidden="false" customHeight="false" outlineLevel="0" collapsed="false">
      <c r="B34" s="0" t="s">
        <v>48</v>
      </c>
      <c r="C34" s="5" t="n">
        <v>46060</v>
      </c>
      <c r="D34" s="3" t="s">
        <v>226</v>
      </c>
      <c r="E34" s="3" t="s">
        <v>30</v>
      </c>
      <c r="F34" s="3" t="s">
        <v>31</v>
      </c>
      <c r="G34" s="3" t="s">
        <v>50</v>
      </c>
      <c r="H34" s="3" t="s">
        <v>39</v>
      </c>
      <c r="I34" s="0" t="n">
        <v>100</v>
      </c>
      <c r="J34" s="0" t="n">
        <v>2419.2</v>
      </c>
      <c r="K34" s="0" t="n">
        <v>2419.36</v>
      </c>
    </row>
    <row r="35" customFormat="false" ht="15" hidden="false" customHeight="false" outlineLevel="0" collapsed="false">
      <c r="B35" s="0" t="s">
        <v>28</v>
      </c>
      <c r="C35" s="5" t="n">
        <v>46061</v>
      </c>
      <c r="D35" s="3" t="s">
        <v>232</v>
      </c>
      <c r="E35" s="3" t="s">
        <v>30</v>
      </c>
      <c r="F35" s="3" t="s">
        <v>31</v>
      </c>
      <c r="G35" s="3" t="s">
        <v>32</v>
      </c>
      <c r="H35" s="3" t="s">
        <v>138</v>
      </c>
      <c r="I35" s="0" t="n">
        <v>182</v>
      </c>
      <c r="J35" s="0" t="n">
        <v>2633.95</v>
      </c>
      <c r="K35" s="0" t="n">
        <v>3424.41</v>
      </c>
    </row>
    <row r="36" customFormat="false" ht="15" hidden="false" customHeight="false" outlineLevel="0" collapsed="false">
      <c r="B36" s="0" t="s">
        <v>28</v>
      </c>
      <c r="C36" s="5" t="n">
        <v>46061</v>
      </c>
      <c r="D36" s="3" t="s">
        <v>237</v>
      </c>
      <c r="E36" s="3" t="s">
        <v>30</v>
      </c>
      <c r="F36" s="3" t="s">
        <v>31</v>
      </c>
      <c r="G36" s="3" t="s">
        <v>106</v>
      </c>
      <c r="H36" s="3" t="s">
        <v>243</v>
      </c>
      <c r="I36" s="0" t="n">
        <v>161</v>
      </c>
      <c r="J36" s="0" t="n">
        <v>1508.05</v>
      </c>
      <c r="K36" s="0" t="n">
        <v>1508.15</v>
      </c>
    </row>
    <row r="37" customFormat="false" ht="15" hidden="false" customHeight="false" outlineLevel="0" collapsed="false">
      <c r="B37" s="0" t="s">
        <v>28</v>
      </c>
      <c r="C37" s="5" t="n">
        <v>46061</v>
      </c>
      <c r="D37" s="3" t="s">
        <v>244</v>
      </c>
      <c r="E37" s="3" t="s">
        <v>30</v>
      </c>
      <c r="F37" s="3" t="s">
        <v>31</v>
      </c>
      <c r="G37" s="3" t="s">
        <v>68</v>
      </c>
      <c r="H37" s="3" t="s">
        <v>39</v>
      </c>
      <c r="I37" s="0" t="n">
        <v>92</v>
      </c>
      <c r="J37" s="0" t="n">
        <v>2567.09</v>
      </c>
      <c r="K37" s="0" t="n">
        <v>2823.94</v>
      </c>
    </row>
    <row r="38" customFormat="false" ht="15" hidden="false" customHeight="false" outlineLevel="0" collapsed="false">
      <c r="B38" s="0" t="s">
        <v>28</v>
      </c>
      <c r="C38" s="5" t="n">
        <v>46061</v>
      </c>
      <c r="D38" s="3" t="s">
        <v>250</v>
      </c>
      <c r="E38" s="3" t="s">
        <v>30</v>
      </c>
      <c r="F38" s="3" t="s">
        <v>31</v>
      </c>
      <c r="G38" s="3" t="s">
        <v>32</v>
      </c>
      <c r="H38" s="3" t="s">
        <v>39</v>
      </c>
      <c r="I38" s="0" t="n">
        <v>100</v>
      </c>
      <c r="J38" s="0" t="n">
        <v>2431.88</v>
      </c>
      <c r="K38" s="0" t="n">
        <v>2675.15</v>
      </c>
    </row>
    <row r="39" customFormat="false" ht="15" hidden="false" customHeight="false" outlineLevel="0" collapsed="false">
      <c r="B39" s="0" t="s">
        <v>28</v>
      </c>
      <c r="C39" s="5" t="n">
        <v>46061</v>
      </c>
      <c r="D39" s="3" t="s">
        <v>256</v>
      </c>
      <c r="E39" s="3" t="s">
        <v>67</v>
      </c>
      <c r="F39" s="3" t="s">
        <v>31</v>
      </c>
      <c r="G39" s="3" t="s">
        <v>106</v>
      </c>
      <c r="H39" s="3" t="s">
        <v>65</v>
      </c>
      <c r="I39" s="0" t="n">
        <v>4</v>
      </c>
      <c r="J39" s="0" t="n">
        <v>2356.18</v>
      </c>
      <c r="K39" s="0" t="n">
        <v>2591.98</v>
      </c>
    </row>
    <row r="40" customFormat="false" ht="15" hidden="false" customHeight="false" outlineLevel="0" collapsed="false">
      <c r="B40" s="0" t="s">
        <v>28</v>
      </c>
      <c r="C40" s="5" t="n">
        <v>46061</v>
      </c>
      <c r="D40" s="3" t="s">
        <v>262</v>
      </c>
      <c r="E40" s="3" t="s">
        <v>30</v>
      </c>
      <c r="F40" s="3" t="s">
        <v>31</v>
      </c>
      <c r="G40" s="3" t="s">
        <v>68</v>
      </c>
      <c r="H40" s="3" t="s">
        <v>39</v>
      </c>
      <c r="I40" s="0" t="n">
        <v>58</v>
      </c>
      <c r="J40" s="0" t="n">
        <v>559.01</v>
      </c>
      <c r="K40" s="0" t="n">
        <v>559.11</v>
      </c>
    </row>
    <row r="41" customFormat="false" ht="15" hidden="false" customHeight="false" outlineLevel="0" collapsed="false">
      <c r="B41" s="0" t="s">
        <v>28</v>
      </c>
      <c r="C41" s="5" t="n">
        <v>46061</v>
      </c>
      <c r="D41" s="3" t="s">
        <v>267</v>
      </c>
      <c r="E41" s="3" t="s">
        <v>30</v>
      </c>
      <c r="F41" s="3" t="s">
        <v>31</v>
      </c>
      <c r="G41" s="3" t="s">
        <v>98</v>
      </c>
      <c r="H41" s="3" t="s">
        <v>39</v>
      </c>
      <c r="I41" s="0" t="n">
        <v>53</v>
      </c>
      <c r="J41" s="0" t="n">
        <v>2376.75</v>
      </c>
      <c r="K41" s="0" t="n">
        <v>2614.53</v>
      </c>
    </row>
    <row r="42" customFormat="false" ht="15" hidden="false" customHeight="false" outlineLevel="0" collapsed="false">
      <c r="B42" s="0" t="s">
        <v>48</v>
      </c>
      <c r="C42" s="5" t="n">
        <v>46061</v>
      </c>
      <c r="D42" s="3" t="s">
        <v>273</v>
      </c>
      <c r="E42" s="3" t="s">
        <v>30</v>
      </c>
      <c r="F42" s="3" t="s">
        <v>31</v>
      </c>
      <c r="G42" s="3" t="s">
        <v>58</v>
      </c>
      <c r="H42" s="3" t="s">
        <v>138</v>
      </c>
      <c r="I42" s="0" t="n">
        <v>177</v>
      </c>
      <c r="J42" s="0" t="n">
        <v>2820.53</v>
      </c>
      <c r="K42" s="0" t="n">
        <v>4231.04</v>
      </c>
    </row>
    <row r="43" customFormat="false" ht="15" hidden="false" customHeight="false" outlineLevel="0" collapsed="false">
      <c r="B43" s="0" t="s">
        <v>28</v>
      </c>
      <c r="C43" s="5" t="n">
        <v>46062</v>
      </c>
      <c r="D43" s="3" t="s">
        <v>278</v>
      </c>
      <c r="E43" s="3" t="s">
        <v>30</v>
      </c>
      <c r="F43" s="3" t="s">
        <v>31</v>
      </c>
      <c r="G43" s="3" t="s">
        <v>50</v>
      </c>
      <c r="H43" s="3" t="s">
        <v>243</v>
      </c>
      <c r="I43" s="0" t="n">
        <v>212</v>
      </c>
      <c r="J43" s="0" t="n">
        <v>2740.06</v>
      </c>
      <c r="K43" s="0" t="n">
        <v>2740.51</v>
      </c>
    </row>
    <row r="44" customFormat="false" ht="15" hidden="false" customHeight="false" outlineLevel="0" collapsed="false">
      <c r="B44" s="0" t="s">
        <v>28</v>
      </c>
      <c r="C44" s="5" t="n">
        <v>46062</v>
      </c>
      <c r="D44" s="3" t="s">
        <v>284</v>
      </c>
      <c r="E44" s="3" t="s">
        <v>30</v>
      </c>
      <c r="F44" s="3" t="s">
        <v>31</v>
      </c>
      <c r="G44" s="3" t="s">
        <v>41</v>
      </c>
      <c r="H44" s="3" t="s">
        <v>39</v>
      </c>
      <c r="I44" s="0" t="n">
        <v>194</v>
      </c>
      <c r="J44" s="0" t="n">
        <v>2425.96</v>
      </c>
      <c r="K44" s="0" t="n">
        <v>2426.08</v>
      </c>
    </row>
    <row r="45" customFormat="false" ht="15" hidden="false" customHeight="false" outlineLevel="0" collapsed="false">
      <c r="B45" s="0" t="s">
        <v>28</v>
      </c>
      <c r="C45" s="5" t="n">
        <v>46062</v>
      </c>
      <c r="D45" s="3" t="s">
        <v>290</v>
      </c>
      <c r="E45" s="3" t="s">
        <v>30</v>
      </c>
      <c r="F45" s="3" t="s">
        <v>31</v>
      </c>
      <c r="G45" s="3" t="s">
        <v>140</v>
      </c>
      <c r="H45" s="3" t="s">
        <v>39</v>
      </c>
      <c r="I45" s="0" t="n">
        <v>150</v>
      </c>
      <c r="J45" s="0" t="n">
        <v>1354.16</v>
      </c>
      <c r="K45" s="0" t="n">
        <v>1354.35</v>
      </c>
    </row>
    <row r="46" customFormat="false" ht="15" hidden="false" customHeight="false" outlineLevel="0" collapsed="false">
      <c r="B46" s="0" t="s">
        <v>28</v>
      </c>
      <c r="C46" s="5" t="n">
        <v>46062</v>
      </c>
      <c r="D46" s="3" t="s">
        <v>296</v>
      </c>
      <c r="E46" s="3" t="s">
        <v>30</v>
      </c>
      <c r="F46" s="3" t="s">
        <v>31</v>
      </c>
      <c r="G46" s="3" t="s">
        <v>106</v>
      </c>
      <c r="H46" s="3" t="s">
        <v>65</v>
      </c>
      <c r="I46" s="0" t="n">
        <v>33</v>
      </c>
      <c r="J46" s="0" t="n">
        <v>44.27</v>
      </c>
      <c r="K46" s="0" t="n">
        <v>44.51</v>
      </c>
    </row>
    <row r="47" customFormat="false" ht="15" hidden="false" customHeight="false" outlineLevel="0" collapsed="false">
      <c r="B47" s="0" t="s">
        <v>48</v>
      </c>
      <c r="C47" s="5" t="n">
        <v>46062</v>
      </c>
      <c r="D47" s="3" t="s">
        <v>302</v>
      </c>
      <c r="E47" s="3" t="s">
        <v>67</v>
      </c>
      <c r="F47" s="3" t="s">
        <v>31</v>
      </c>
      <c r="G47" s="3" t="s">
        <v>76</v>
      </c>
      <c r="H47" s="3" t="s">
        <v>39</v>
      </c>
      <c r="I47" s="0" t="n">
        <v>172</v>
      </c>
      <c r="J47" s="0" t="n">
        <v>1455.29</v>
      </c>
      <c r="K47" s="0" t="n">
        <v>1892.28</v>
      </c>
    </row>
    <row r="48" customFormat="false" ht="15" hidden="false" customHeight="false" outlineLevel="0" collapsed="false">
      <c r="B48" s="0" t="s">
        <v>28</v>
      </c>
      <c r="C48" s="5" t="n">
        <v>46063</v>
      </c>
      <c r="D48" s="3" t="s">
        <v>308</v>
      </c>
      <c r="E48" s="3" t="s">
        <v>67</v>
      </c>
      <c r="F48" s="3" t="s">
        <v>31</v>
      </c>
      <c r="G48" s="3" t="s">
        <v>41</v>
      </c>
      <c r="H48" s="3" t="s">
        <v>39</v>
      </c>
      <c r="I48" s="0" t="n">
        <v>100</v>
      </c>
      <c r="J48" s="0" t="n">
        <v>2348.58</v>
      </c>
      <c r="K48" s="0" t="n">
        <v>2348.91</v>
      </c>
    </row>
    <row r="49" customFormat="false" ht="15" hidden="false" customHeight="false" outlineLevel="0" collapsed="false">
      <c r="B49" s="0" t="s">
        <v>28</v>
      </c>
      <c r="C49" s="5" t="n">
        <v>46063</v>
      </c>
      <c r="D49" s="3" t="s">
        <v>314</v>
      </c>
      <c r="E49" s="3" t="s">
        <v>30</v>
      </c>
      <c r="F49" s="3" t="s">
        <v>31</v>
      </c>
      <c r="G49" s="3" t="s">
        <v>50</v>
      </c>
      <c r="H49" s="3" t="s">
        <v>39</v>
      </c>
      <c r="I49" s="0" t="n">
        <v>199</v>
      </c>
      <c r="J49" s="0" t="n">
        <v>2924.8</v>
      </c>
      <c r="K49" s="0" t="n">
        <v>3217.6</v>
      </c>
    </row>
    <row r="50" customFormat="false" ht="15" hidden="false" customHeight="false" outlineLevel="0" collapsed="false">
      <c r="B50" s="0" t="s">
        <v>28</v>
      </c>
      <c r="C50" s="5" t="n">
        <v>46064</v>
      </c>
      <c r="D50" s="3" t="s">
        <v>319</v>
      </c>
      <c r="E50" s="3" t="s">
        <v>30</v>
      </c>
      <c r="F50" s="3" t="s">
        <v>31</v>
      </c>
      <c r="G50" s="3" t="s">
        <v>76</v>
      </c>
      <c r="H50" s="3" t="s">
        <v>74</v>
      </c>
      <c r="I50" s="0" t="n">
        <v>209</v>
      </c>
      <c r="J50" s="0" t="n">
        <v>2908.75</v>
      </c>
      <c r="K50" s="0" t="n">
        <v>2908.84</v>
      </c>
    </row>
    <row r="51" customFormat="false" ht="15" hidden="false" customHeight="false" outlineLevel="0" collapsed="false">
      <c r="B51" s="0" t="s">
        <v>28</v>
      </c>
      <c r="C51" s="5" t="n">
        <v>46064</v>
      </c>
      <c r="D51" s="3" t="s">
        <v>325</v>
      </c>
      <c r="E51" s="3" t="s">
        <v>67</v>
      </c>
      <c r="F51" s="3" t="s">
        <v>31</v>
      </c>
      <c r="G51" s="3" t="s">
        <v>41</v>
      </c>
      <c r="H51" s="3" t="s">
        <v>39</v>
      </c>
      <c r="I51" s="0" t="n">
        <v>145</v>
      </c>
      <c r="J51" s="0" t="n">
        <v>2379.31</v>
      </c>
      <c r="K51" s="0" t="n">
        <v>2379.53</v>
      </c>
    </row>
    <row r="52" customFormat="false" ht="15" hidden="false" customHeight="false" outlineLevel="0" collapsed="false">
      <c r="B52" s="0" t="s">
        <v>28</v>
      </c>
      <c r="C52" s="5" t="n">
        <v>46064</v>
      </c>
      <c r="D52" s="3" t="s">
        <v>330</v>
      </c>
      <c r="E52" s="3" t="s">
        <v>30</v>
      </c>
      <c r="F52" s="3" t="s">
        <v>31</v>
      </c>
      <c r="G52" s="3" t="s">
        <v>41</v>
      </c>
      <c r="H52" s="3" t="s">
        <v>39</v>
      </c>
      <c r="I52" s="0" t="n">
        <v>196</v>
      </c>
      <c r="J52" s="0" t="n">
        <v>2391.54</v>
      </c>
      <c r="K52" s="0" t="n">
        <v>3587.48</v>
      </c>
    </row>
    <row r="53" customFormat="false" ht="15" hidden="false" customHeight="false" outlineLevel="0" collapsed="false">
      <c r="B53" s="0" t="s">
        <v>48</v>
      </c>
      <c r="C53" s="5" t="n">
        <v>46064</v>
      </c>
      <c r="D53" s="3" t="s">
        <v>335</v>
      </c>
      <c r="E53" s="3" t="s">
        <v>30</v>
      </c>
      <c r="F53" s="3" t="s">
        <v>31</v>
      </c>
      <c r="G53" s="3" t="s">
        <v>98</v>
      </c>
      <c r="H53" s="3" t="s">
        <v>39</v>
      </c>
      <c r="I53" s="0" t="n">
        <v>58</v>
      </c>
      <c r="J53" s="0" t="n">
        <v>2000.26</v>
      </c>
      <c r="K53" s="0" t="n">
        <v>3000.55</v>
      </c>
    </row>
    <row r="54" customFormat="false" ht="15" hidden="false" customHeight="false" outlineLevel="0" collapsed="false">
      <c r="B54" s="0" t="s">
        <v>28</v>
      </c>
      <c r="C54" s="5" t="n">
        <v>46065</v>
      </c>
      <c r="D54" s="3" t="s">
        <v>341</v>
      </c>
      <c r="E54" s="3" t="s">
        <v>30</v>
      </c>
      <c r="F54" s="3" t="s">
        <v>31</v>
      </c>
      <c r="G54" s="3" t="s">
        <v>140</v>
      </c>
      <c r="H54" s="3" t="s">
        <v>89</v>
      </c>
      <c r="I54" s="0" t="n">
        <v>67</v>
      </c>
      <c r="J54" s="0" t="n">
        <v>1490.64</v>
      </c>
      <c r="K54" s="0" t="n">
        <v>1491.01</v>
      </c>
    </row>
    <row r="55" customFormat="false" ht="15" hidden="false" customHeight="false" outlineLevel="0" collapsed="false">
      <c r="B55" s="0" t="s">
        <v>28</v>
      </c>
      <c r="C55" s="5" t="n">
        <v>46065</v>
      </c>
      <c r="D55" s="3" t="s">
        <v>345</v>
      </c>
      <c r="E55" s="3" t="s">
        <v>30</v>
      </c>
      <c r="F55" s="3" t="s">
        <v>31</v>
      </c>
      <c r="G55" s="3" t="s">
        <v>32</v>
      </c>
      <c r="H55" s="3" t="s">
        <v>89</v>
      </c>
      <c r="I55" s="0" t="n">
        <v>166</v>
      </c>
      <c r="J55" s="0" t="n">
        <v>3038.52</v>
      </c>
      <c r="K55" s="0" t="n">
        <v>3950.17</v>
      </c>
    </row>
    <row r="56" customFormat="false" ht="15" hidden="false" customHeight="false" outlineLevel="0" collapsed="false">
      <c r="B56" s="0" t="s">
        <v>28</v>
      </c>
      <c r="C56" s="5" t="n">
        <v>46065</v>
      </c>
      <c r="D56" s="3" t="s">
        <v>351</v>
      </c>
      <c r="E56" s="3" t="s">
        <v>30</v>
      </c>
      <c r="F56" s="3" t="s">
        <v>31</v>
      </c>
      <c r="G56" s="3" t="s">
        <v>68</v>
      </c>
      <c r="H56" s="3" t="s">
        <v>39</v>
      </c>
      <c r="I56" s="0" t="n">
        <v>74</v>
      </c>
      <c r="J56" s="0" t="n">
        <v>2579.22</v>
      </c>
      <c r="K56" s="0" t="n">
        <v>3353.4</v>
      </c>
    </row>
    <row r="57" customFormat="false" ht="15" hidden="false" customHeight="false" outlineLevel="0" collapsed="false">
      <c r="B57" s="0" t="s">
        <v>48</v>
      </c>
      <c r="C57" s="5" t="n">
        <v>46065</v>
      </c>
      <c r="D57" s="3" t="s">
        <v>356</v>
      </c>
      <c r="E57" s="3" t="s">
        <v>30</v>
      </c>
      <c r="F57" s="3" t="s">
        <v>31</v>
      </c>
      <c r="G57" s="3" t="s">
        <v>50</v>
      </c>
      <c r="H57" s="3" t="s">
        <v>39</v>
      </c>
      <c r="I57" s="0" t="n">
        <v>166</v>
      </c>
      <c r="J57" s="0" t="n">
        <v>1912.52</v>
      </c>
      <c r="K57" s="0" t="n">
        <v>1912.83</v>
      </c>
    </row>
    <row r="58" customFormat="false" ht="15" hidden="false" customHeight="false" outlineLevel="0" collapsed="false">
      <c r="B58" s="0" t="s">
        <v>48</v>
      </c>
      <c r="C58" s="5" t="n">
        <v>46065</v>
      </c>
      <c r="D58" s="3" t="s">
        <v>361</v>
      </c>
      <c r="E58" s="3" t="s">
        <v>30</v>
      </c>
      <c r="F58" s="3" t="s">
        <v>31</v>
      </c>
      <c r="G58" s="3" t="s">
        <v>140</v>
      </c>
      <c r="H58" s="3" t="s">
        <v>367</v>
      </c>
      <c r="I58" s="0" t="n">
        <v>205</v>
      </c>
      <c r="J58" s="0" t="n">
        <v>826.69</v>
      </c>
      <c r="K58" s="0" t="n">
        <v>909.82</v>
      </c>
    </row>
    <row r="59" customFormat="false" ht="15" hidden="false" customHeight="false" outlineLevel="0" collapsed="false">
      <c r="B59" s="0" t="s">
        <v>48</v>
      </c>
      <c r="C59" s="5" t="n">
        <v>46065</v>
      </c>
      <c r="D59" s="3" t="s">
        <v>368</v>
      </c>
      <c r="E59" s="3" t="s">
        <v>30</v>
      </c>
      <c r="F59" s="3" t="s">
        <v>31</v>
      </c>
      <c r="G59" s="3" t="s">
        <v>68</v>
      </c>
      <c r="H59" s="3" t="s">
        <v>39</v>
      </c>
      <c r="I59" s="0" t="n">
        <v>181</v>
      </c>
      <c r="J59" s="0" t="n">
        <v>2486.39</v>
      </c>
      <c r="K59" s="0" t="n">
        <v>2486.57</v>
      </c>
    </row>
    <row r="60" customFormat="false" ht="15" hidden="false" customHeight="false" outlineLevel="0" collapsed="false">
      <c r="B60" s="0" t="s">
        <v>28</v>
      </c>
      <c r="C60" s="5" t="n">
        <v>46066</v>
      </c>
      <c r="D60" s="3" t="s">
        <v>373</v>
      </c>
      <c r="E60" s="3" t="s">
        <v>30</v>
      </c>
      <c r="F60" s="3" t="s">
        <v>31</v>
      </c>
      <c r="G60" s="3" t="s">
        <v>140</v>
      </c>
      <c r="H60" s="3" t="s">
        <v>39</v>
      </c>
      <c r="I60" s="0" t="n">
        <v>149</v>
      </c>
      <c r="J60" s="0" t="n">
        <v>1265.92</v>
      </c>
      <c r="K60" s="0" t="n">
        <v>1645.91</v>
      </c>
    </row>
    <row r="61" customFormat="false" ht="15" hidden="false" customHeight="false" outlineLevel="0" collapsed="false">
      <c r="B61" s="0" t="s">
        <v>28</v>
      </c>
      <c r="C61" s="5" t="n">
        <v>46066</v>
      </c>
      <c r="D61" s="3" t="s">
        <v>377</v>
      </c>
      <c r="E61" s="3" t="s">
        <v>30</v>
      </c>
      <c r="F61" s="3" t="s">
        <v>31</v>
      </c>
      <c r="G61" s="3" t="s">
        <v>68</v>
      </c>
      <c r="H61" s="3" t="s">
        <v>39</v>
      </c>
      <c r="I61" s="0" t="n">
        <v>128</v>
      </c>
      <c r="J61" s="0" t="n">
        <v>2030.45</v>
      </c>
      <c r="K61" s="0" t="n">
        <v>2640.06</v>
      </c>
    </row>
    <row r="62" customFormat="false" ht="15" hidden="false" customHeight="false" outlineLevel="0" collapsed="false">
      <c r="B62" s="0" t="s">
        <v>48</v>
      </c>
      <c r="C62" s="5" t="n">
        <v>46066</v>
      </c>
      <c r="D62" s="3" t="s">
        <v>383</v>
      </c>
      <c r="E62" s="3" t="s">
        <v>30</v>
      </c>
      <c r="F62" s="3" t="s">
        <v>31</v>
      </c>
      <c r="G62" s="3" t="s">
        <v>50</v>
      </c>
      <c r="H62" s="3" t="s">
        <v>39</v>
      </c>
      <c r="I62" s="0" t="n">
        <v>99</v>
      </c>
      <c r="J62" s="0" t="n">
        <v>314.11</v>
      </c>
      <c r="K62" s="0" t="n">
        <v>345.9</v>
      </c>
    </row>
    <row r="63" customFormat="false" ht="15" hidden="false" customHeight="false" outlineLevel="0" collapsed="false">
      <c r="B63" s="0" t="s">
        <v>48</v>
      </c>
      <c r="C63" s="5" t="n">
        <v>46066</v>
      </c>
      <c r="D63" s="3" t="s">
        <v>387</v>
      </c>
      <c r="E63" s="3" t="s">
        <v>30</v>
      </c>
      <c r="F63" s="3" t="s">
        <v>31</v>
      </c>
      <c r="G63" s="3" t="s">
        <v>58</v>
      </c>
      <c r="H63" s="3" t="s">
        <v>39</v>
      </c>
      <c r="I63" s="0" t="n">
        <v>180</v>
      </c>
      <c r="J63" s="0" t="n">
        <v>212</v>
      </c>
      <c r="K63" s="0" t="n">
        <v>233.64</v>
      </c>
    </row>
    <row r="64" customFormat="false" ht="15" hidden="false" customHeight="false" outlineLevel="0" collapsed="false">
      <c r="B64" s="0" t="s">
        <v>48</v>
      </c>
      <c r="C64" s="5" t="n">
        <v>46066</v>
      </c>
      <c r="D64" s="3" t="s">
        <v>393</v>
      </c>
      <c r="E64" s="3" t="s">
        <v>30</v>
      </c>
      <c r="F64" s="3" t="s">
        <v>31</v>
      </c>
      <c r="G64" s="3" t="s">
        <v>98</v>
      </c>
      <c r="H64" s="3" t="s">
        <v>243</v>
      </c>
      <c r="I64" s="0" t="n">
        <v>1</v>
      </c>
      <c r="J64" s="0" t="n">
        <v>1105.31</v>
      </c>
      <c r="K64" s="0" t="n">
        <v>1105.47</v>
      </c>
    </row>
    <row r="65" customFormat="false" ht="15" hidden="false" customHeight="false" outlineLevel="0" collapsed="false">
      <c r="B65" s="0" t="s">
        <v>28</v>
      </c>
      <c r="C65" s="5" t="n">
        <v>46067</v>
      </c>
      <c r="D65" s="3" t="s">
        <v>399</v>
      </c>
      <c r="E65" s="3" t="s">
        <v>30</v>
      </c>
      <c r="F65" s="3" t="s">
        <v>31</v>
      </c>
      <c r="G65" s="3" t="s">
        <v>32</v>
      </c>
      <c r="H65" s="3" t="s">
        <v>39</v>
      </c>
      <c r="I65" s="0" t="n">
        <v>44</v>
      </c>
      <c r="J65" s="0" t="n">
        <v>2659.8</v>
      </c>
      <c r="K65" s="0" t="n">
        <v>2660.13</v>
      </c>
    </row>
    <row r="66" customFormat="false" ht="15" hidden="false" customHeight="false" outlineLevel="0" collapsed="false">
      <c r="B66" s="0" t="s">
        <v>28</v>
      </c>
      <c r="C66" s="5" t="n">
        <v>46067</v>
      </c>
      <c r="D66" s="3" t="s">
        <v>405</v>
      </c>
      <c r="E66" s="3" t="s">
        <v>30</v>
      </c>
      <c r="F66" s="3" t="s">
        <v>31</v>
      </c>
      <c r="G66" s="3" t="s">
        <v>58</v>
      </c>
      <c r="H66" s="3" t="s">
        <v>367</v>
      </c>
      <c r="I66" s="0" t="n">
        <v>132</v>
      </c>
      <c r="J66" s="0" t="n">
        <v>1265.29</v>
      </c>
      <c r="K66" s="0" t="n">
        <v>1898.23</v>
      </c>
    </row>
    <row r="67" customFormat="false" ht="15" hidden="false" customHeight="false" outlineLevel="0" collapsed="false">
      <c r="B67" s="0" t="s">
        <v>48</v>
      </c>
      <c r="C67" s="5" t="n">
        <v>46067</v>
      </c>
      <c r="D67" s="3" t="s">
        <v>411</v>
      </c>
      <c r="E67" s="3" t="s">
        <v>30</v>
      </c>
      <c r="F67" s="3" t="s">
        <v>31</v>
      </c>
      <c r="G67" s="3" t="s">
        <v>32</v>
      </c>
      <c r="H67" s="3" t="s">
        <v>39</v>
      </c>
      <c r="I67" s="0" t="n">
        <v>197</v>
      </c>
      <c r="J67" s="0" t="n">
        <v>2181.5</v>
      </c>
      <c r="K67" s="0" t="n">
        <v>3272.71</v>
      </c>
    </row>
    <row r="68" customFormat="false" ht="15" hidden="false" customHeight="false" outlineLevel="0" collapsed="false">
      <c r="B68" s="0" t="s">
        <v>48</v>
      </c>
      <c r="C68" s="5" t="n">
        <v>46067</v>
      </c>
      <c r="D68" s="3" t="s">
        <v>417</v>
      </c>
      <c r="E68" s="3" t="s">
        <v>30</v>
      </c>
      <c r="F68" s="3" t="s">
        <v>31</v>
      </c>
      <c r="G68" s="3" t="s">
        <v>98</v>
      </c>
      <c r="H68" s="3" t="s">
        <v>39</v>
      </c>
      <c r="I68" s="0" t="n">
        <v>121</v>
      </c>
      <c r="J68" s="0" t="n">
        <v>1648.81</v>
      </c>
      <c r="K68" s="0" t="n">
        <v>1648.87</v>
      </c>
    </row>
    <row r="69" customFormat="false" ht="15" hidden="false" customHeight="false" outlineLevel="0" collapsed="false">
      <c r="B69" s="0" t="s">
        <v>48</v>
      </c>
      <c r="C69" s="5" t="n">
        <v>46067</v>
      </c>
      <c r="D69" s="3" t="s">
        <v>422</v>
      </c>
      <c r="E69" s="3" t="s">
        <v>30</v>
      </c>
      <c r="F69" s="3" t="s">
        <v>31</v>
      </c>
      <c r="G69" s="3" t="s">
        <v>50</v>
      </c>
      <c r="H69" s="3" t="s">
        <v>39</v>
      </c>
      <c r="I69" s="0" t="n">
        <v>184</v>
      </c>
      <c r="J69" s="0" t="n">
        <v>1954.92</v>
      </c>
      <c r="K69" s="0" t="n">
        <v>1955.27</v>
      </c>
    </row>
    <row r="70" customFormat="false" ht="15" hidden="false" customHeight="false" outlineLevel="0" collapsed="false">
      <c r="B70" s="0" t="s">
        <v>48</v>
      </c>
      <c r="C70" s="5" t="n">
        <v>46067</v>
      </c>
      <c r="D70" s="3" t="s">
        <v>427</v>
      </c>
      <c r="E70" s="3" t="s">
        <v>30</v>
      </c>
      <c r="F70" s="3" t="s">
        <v>31</v>
      </c>
      <c r="G70" s="3" t="s">
        <v>41</v>
      </c>
      <c r="H70" s="3" t="s">
        <v>39</v>
      </c>
      <c r="I70" s="0" t="n">
        <v>18</v>
      </c>
      <c r="J70" s="0" t="n">
        <v>769.72</v>
      </c>
      <c r="K70" s="0" t="n">
        <v>770.03</v>
      </c>
    </row>
    <row r="71" customFormat="false" ht="15" hidden="false" customHeight="false" outlineLevel="0" collapsed="false">
      <c r="B71" s="0" t="s">
        <v>28</v>
      </c>
      <c r="C71" s="5" t="n">
        <v>46068</v>
      </c>
      <c r="D71" s="3" t="s">
        <v>433</v>
      </c>
      <c r="E71" s="3" t="s">
        <v>30</v>
      </c>
      <c r="F71" s="3" t="s">
        <v>31</v>
      </c>
      <c r="G71" s="3" t="s">
        <v>68</v>
      </c>
      <c r="H71" s="3" t="s">
        <v>39</v>
      </c>
      <c r="I71" s="0" t="n">
        <v>42</v>
      </c>
      <c r="J71" s="0" t="n">
        <v>2961.45</v>
      </c>
      <c r="K71" s="0" t="n">
        <v>3257.94</v>
      </c>
    </row>
    <row r="72" customFormat="false" ht="15" hidden="false" customHeight="false" outlineLevel="0" collapsed="false">
      <c r="B72" s="0" t="s">
        <v>28</v>
      </c>
      <c r="C72" s="5" t="n">
        <v>46068</v>
      </c>
      <c r="D72" s="3" t="s">
        <v>440</v>
      </c>
      <c r="E72" s="3" t="s">
        <v>30</v>
      </c>
      <c r="F72" s="3" t="s">
        <v>31</v>
      </c>
      <c r="G72" s="3" t="s">
        <v>106</v>
      </c>
      <c r="H72" s="3" t="s">
        <v>39</v>
      </c>
      <c r="I72" s="0" t="n">
        <v>193</v>
      </c>
      <c r="J72" s="0" t="n">
        <v>710.33</v>
      </c>
      <c r="K72" s="0" t="n">
        <v>710.49</v>
      </c>
    </row>
    <row r="73" customFormat="false" ht="15" hidden="false" customHeight="false" outlineLevel="0" collapsed="false">
      <c r="B73" s="0" t="s">
        <v>48</v>
      </c>
      <c r="C73" s="5" t="n">
        <v>46068</v>
      </c>
      <c r="D73" s="3" t="s">
        <v>445</v>
      </c>
      <c r="E73" s="3" t="s">
        <v>30</v>
      </c>
      <c r="F73" s="3" t="s">
        <v>31</v>
      </c>
      <c r="G73" s="3" t="s">
        <v>50</v>
      </c>
      <c r="H73" s="3" t="s">
        <v>39</v>
      </c>
      <c r="I73" s="0" t="n">
        <v>212</v>
      </c>
      <c r="J73" s="0" t="n">
        <v>1703.11</v>
      </c>
      <c r="K73" s="0" t="n">
        <v>1703.34</v>
      </c>
    </row>
    <row r="74" customFormat="false" ht="15" hidden="false" customHeight="false" outlineLevel="0" collapsed="false">
      <c r="B74" s="0" t="s">
        <v>48</v>
      </c>
      <c r="C74" s="5" t="n">
        <v>46068</v>
      </c>
      <c r="D74" s="3" t="s">
        <v>450</v>
      </c>
      <c r="E74" s="3" t="s">
        <v>30</v>
      </c>
      <c r="F74" s="3" t="s">
        <v>31</v>
      </c>
      <c r="G74" s="3" t="s">
        <v>32</v>
      </c>
      <c r="H74" s="3" t="s">
        <v>39</v>
      </c>
      <c r="I74" s="0" t="n">
        <v>76</v>
      </c>
      <c r="J74" s="0" t="n">
        <v>978.56</v>
      </c>
      <c r="K74" s="0" t="n">
        <v>978.59</v>
      </c>
    </row>
    <row r="75" customFormat="false" ht="15" hidden="false" customHeight="false" outlineLevel="0" collapsed="false">
      <c r="B75" s="0" t="s">
        <v>48</v>
      </c>
      <c r="C75" s="5" t="n">
        <v>46068</v>
      </c>
      <c r="D75" s="3" t="s">
        <v>454</v>
      </c>
      <c r="E75" s="3" t="s">
        <v>30</v>
      </c>
      <c r="F75" s="3" t="s">
        <v>31</v>
      </c>
      <c r="G75" s="3" t="s">
        <v>58</v>
      </c>
      <c r="H75" s="3" t="s">
        <v>243</v>
      </c>
      <c r="I75" s="0" t="n">
        <v>155</v>
      </c>
      <c r="J75" s="0" t="n">
        <v>1921.53</v>
      </c>
      <c r="K75" s="0" t="n">
        <v>2882.63</v>
      </c>
    </row>
    <row r="76" customFormat="false" ht="15" hidden="false" customHeight="false" outlineLevel="0" collapsed="false">
      <c r="B76" s="0" t="s">
        <v>48</v>
      </c>
      <c r="C76" s="5" t="n">
        <v>46068</v>
      </c>
      <c r="D76" s="3" t="s">
        <v>460</v>
      </c>
      <c r="E76" s="3" t="s">
        <v>30</v>
      </c>
      <c r="F76" s="3" t="s">
        <v>31</v>
      </c>
      <c r="G76" s="3" t="s">
        <v>58</v>
      </c>
      <c r="H76" s="3" t="s">
        <v>39</v>
      </c>
      <c r="I76" s="0" t="n">
        <v>195</v>
      </c>
      <c r="J76" s="0" t="n">
        <v>1908.13</v>
      </c>
      <c r="K76" s="0" t="n">
        <v>1908.19</v>
      </c>
    </row>
    <row r="77" customFormat="false" ht="15" hidden="false" customHeight="false" outlineLevel="0" collapsed="false">
      <c r="B77" s="0" t="s">
        <v>48</v>
      </c>
      <c r="C77" s="5" t="n">
        <v>46068</v>
      </c>
      <c r="D77" s="3" t="s">
        <v>465</v>
      </c>
      <c r="E77" s="3" t="s">
        <v>30</v>
      </c>
      <c r="F77" s="3" t="s">
        <v>31</v>
      </c>
      <c r="G77" s="3" t="s">
        <v>106</v>
      </c>
      <c r="H77" s="3" t="s">
        <v>39</v>
      </c>
      <c r="I77" s="0" t="n">
        <v>124</v>
      </c>
      <c r="J77" s="0" t="n">
        <v>772.34</v>
      </c>
      <c r="K77" s="0" t="n">
        <v>1004.33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4" t="s">
        <v>474</v>
      </c>
    </row>
    <row r="2" customFormat="false" ht="15" hidden="false" customHeight="false" outlineLevel="0" collapsed="false">
      <c r="H2" s="0" t="s">
        <v>475</v>
      </c>
    </row>
    <row r="3" customFormat="false" ht="23.85" hidden="false" customHeight="false" outlineLevel="0" collapsed="false">
      <c r="A3" s="1" t="s">
        <v>476</v>
      </c>
      <c r="B3" s="1" t="s">
        <v>477</v>
      </c>
      <c r="C3" s="1" t="s">
        <v>478</v>
      </c>
      <c r="D3" s="1" t="s">
        <v>479</v>
      </c>
      <c r="E3" s="1" t="s">
        <v>480</v>
      </c>
      <c r="F3" s="1" t="s">
        <v>481</v>
      </c>
      <c r="G3" s="1" t="s">
        <v>482</v>
      </c>
      <c r="H3" s="1" t="s">
        <v>483</v>
      </c>
    </row>
    <row r="4" customFormat="false" ht="15" hidden="false" customHeight="false" outlineLevel="0" collapsed="false">
      <c r="A4" s="0" t="n">
        <v>1</v>
      </c>
      <c r="B4" s="5" t="n">
        <v>46054</v>
      </c>
      <c r="C4" s="3" t="s">
        <v>28</v>
      </c>
      <c r="D4" s="3" t="s">
        <v>484</v>
      </c>
      <c r="E4" s="0" t="n">
        <v>175</v>
      </c>
      <c r="F4" s="0" t="n">
        <v>3676.5</v>
      </c>
      <c r="G4" s="0" t="n">
        <v>5199.3</v>
      </c>
      <c r="H4" s="6" t="n">
        <f aca="false">G4*2.1*1.18</f>
        <v>12883.8654</v>
      </c>
    </row>
    <row r="5" customFormat="false" ht="15" hidden="false" customHeight="false" outlineLevel="0" collapsed="false">
      <c r="A5" s="0" t="n">
        <v>2</v>
      </c>
      <c r="B5" s="5" t="n">
        <v>46054</v>
      </c>
      <c r="C5" s="3" t="s">
        <v>28</v>
      </c>
      <c r="D5" s="3" t="s">
        <v>485</v>
      </c>
      <c r="E5" s="0" t="n">
        <v>175</v>
      </c>
      <c r="F5" s="0" t="n">
        <v>3676.5</v>
      </c>
      <c r="G5" s="0" t="n">
        <v>5199.3</v>
      </c>
      <c r="H5" s="6" t="n">
        <f aca="false">G5*3.2*1.18</f>
        <v>19632.5568</v>
      </c>
    </row>
    <row r="6" customFormat="false" ht="15" hidden="false" customHeight="false" outlineLevel="0" collapsed="false">
      <c r="A6" s="0" t="n">
        <v>3</v>
      </c>
      <c r="B6" s="5" t="n">
        <v>46054</v>
      </c>
      <c r="C6" s="3" t="s">
        <v>28</v>
      </c>
      <c r="D6" s="3" t="s">
        <v>486</v>
      </c>
      <c r="E6" s="0" t="n">
        <v>175</v>
      </c>
      <c r="F6" s="0" t="n">
        <v>3676.5</v>
      </c>
      <c r="G6" s="0" t="n">
        <v>5199.3</v>
      </c>
      <c r="H6" s="6" t="n">
        <f aca="false">G6*3*1.18</f>
        <v>18405.522</v>
      </c>
    </row>
    <row r="7" customFormat="false" ht="15" hidden="false" customHeight="false" outlineLevel="0" collapsed="false">
      <c r="A7" s="0" t="n">
        <v>4</v>
      </c>
      <c r="B7" s="5" t="n">
        <v>46054</v>
      </c>
      <c r="C7" s="3" t="s">
        <v>48</v>
      </c>
      <c r="D7" s="3" t="s">
        <v>484</v>
      </c>
      <c r="E7" s="0" t="n">
        <v>130</v>
      </c>
      <c r="F7" s="0" t="n">
        <v>4947.6</v>
      </c>
      <c r="G7" s="0" t="n">
        <v>4948.4</v>
      </c>
      <c r="H7" s="6" t="n">
        <f aca="false">G7*2.1*1.18</f>
        <v>12262.1352</v>
      </c>
    </row>
    <row r="8" customFormat="false" ht="15" hidden="false" customHeight="false" outlineLevel="0" collapsed="false">
      <c r="A8" s="0" t="n">
        <v>5</v>
      </c>
      <c r="B8" s="5" t="n">
        <v>46054</v>
      </c>
      <c r="C8" s="3" t="s">
        <v>48</v>
      </c>
      <c r="D8" s="3" t="s">
        <v>485</v>
      </c>
      <c r="E8" s="0" t="n">
        <v>130</v>
      </c>
      <c r="F8" s="0" t="n">
        <v>4947.6</v>
      </c>
      <c r="G8" s="0" t="n">
        <v>4948.4</v>
      </c>
      <c r="H8" s="6" t="n">
        <f aca="false">G8*3.2*1.18</f>
        <v>18685.1584</v>
      </c>
    </row>
    <row r="9" customFormat="false" ht="15" hidden="false" customHeight="false" outlineLevel="0" collapsed="false">
      <c r="A9" s="0" t="n">
        <v>6</v>
      </c>
      <c r="B9" s="5" t="n">
        <v>46054</v>
      </c>
      <c r="C9" s="3" t="s">
        <v>48</v>
      </c>
      <c r="D9" s="3" t="s">
        <v>486</v>
      </c>
      <c r="E9" s="0" t="n">
        <v>130</v>
      </c>
      <c r="F9" s="0" t="n">
        <v>4947.6</v>
      </c>
      <c r="G9" s="0" t="n">
        <v>4948.4</v>
      </c>
      <c r="H9" s="6" t="n">
        <f aca="false">G9*3*1.18</f>
        <v>17517.336</v>
      </c>
    </row>
    <row r="10" customFormat="false" ht="15" hidden="false" customHeight="false" outlineLevel="0" collapsed="false">
      <c r="A10" s="0" t="n">
        <v>7</v>
      </c>
      <c r="B10" s="5" t="n">
        <v>46055</v>
      </c>
      <c r="C10" s="3" t="s">
        <v>28</v>
      </c>
      <c r="D10" s="3" t="s">
        <v>484</v>
      </c>
      <c r="E10" s="0" t="n">
        <v>233</v>
      </c>
      <c r="F10" s="0" t="n">
        <v>1654.1</v>
      </c>
      <c r="G10" s="0" t="n">
        <v>1879.1</v>
      </c>
      <c r="H10" s="6" t="n">
        <f aca="false">G10*2.1*1.18</f>
        <v>4656.4098</v>
      </c>
    </row>
    <row r="11" customFormat="false" ht="15" hidden="false" customHeight="false" outlineLevel="0" collapsed="false">
      <c r="A11" s="0" t="n">
        <v>8</v>
      </c>
      <c r="B11" s="5" t="n">
        <v>46055</v>
      </c>
      <c r="C11" s="3" t="s">
        <v>28</v>
      </c>
      <c r="D11" s="3" t="s">
        <v>485</v>
      </c>
      <c r="E11" s="0" t="n">
        <v>233</v>
      </c>
      <c r="F11" s="0" t="n">
        <v>1654.1</v>
      </c>
      <c r="G11" s="0" t="n">
        <v>1879.1</v>
      </c>
      <c r="H11" s="6" t="n">
        <f aca="false">G11*3.2*1.18</f>
        <v>7095.4816</v>
      </c>
    </row>
    <row r="12" customFormat="false" ht="15" hidden="false" customHeight="false" outlineLevel="0" collapsed="false">
      <c r="A12" s="0" t="n">
        <v>9</v>
      </c>
      <c r="B12" s="5" t="n">
        <v>46055</v>
      </c>
      <c r="C12" s="3" t="s">
        <v>28</v>
      </c>
      <c r="D12" s="3" t="s">
        <v>486</v>
      </c>
      <c r="E12" s="0" t="n">
        <v>233</v>
      </c>
      <c r="F12" s="0" t="n">
        <v>1654.1</v>
      </c>
      <c r="G12" s="0" t="n">
        <v>1879.1</v>
      </c>
      <c r="H12" s="6" t="n">
        <f aca="false">G12*3*1.18</f>
        <v>6652.014</v>
      </c>
    </row>
    <row r="13" customFormat="false" ht="15" hidden="false" customHeight="false" outlineLevel="0" collapsed="false">
      <c r="A13" s="0" t="n">
        <v>10</v>
      </c>
      <c r="B13" s="5" t="n">
        <v>46055</v>
      </c>
      <c r="C13" s="3" t="s">
        <v>48</v>
      </c>
      <c r="D13" s="3" t="s">
        <v>484</v>
      </c>
      <c r="E13" s="0" t="n">
        <v>267</v>
      </c>
      <c r="F13" s="0" t="n">
        <v>2888.9</v>
      </c>
      <c r="G13" s="0" t="n">
        <v>3756</v>
      </c>
      <c r="H13" s="6" t="n">
        <f aca="false">G13*2.1*1.18</f>
        <v>9307.368</v>
      </c>
    </row>
    <row r="14" customFormat="false" ht="15" hidden="false" customHeight="false" outlineLevel="0" collapsed="false">
      <c r="A14" s="0" t="n">
        <v>11</v>
      </c>
      <c r="B14" s="5" t="n">
        <v>46055</v>
      </c>
      <c r="C14" s="3" t="s">
        <v>48</v>
      </c>
      <c r="D14" s="3" t="s">
        <v>485</v>
      </c>
      <c r="E14" s="0" t="n">
        <v>267</v>
      </c>
      <c r="F14" s="0" t="n">
        <v>2888.9</v>
      </c>
      <c r="G14" s="0" t="n">
        <v>3756</v>
      </c>
      <c r="H14" s="6" t="n">
        <f aca="false">G14*3.2*1.18</f>
        <v>14182.656</v>
      </c>
    </row>
    <row r="15" customFormat="false" ht="15" hidden="false" customHeight="false" outlineLevel="0" collapsed="false">
      <c r="A15" s="0" t="n">
        <v>12</v>
      </c>
      <c r="B15" s="5" t="n">
        <v>46055</v>
      </c>
      <c r="C15" s="3" t="s">
        <v>48</v>
      </c>
      <c r="D15" s="3" t="s">
        <v>486</v>
      </c>
      <c r="E15" s="0" t="n">
        <v>267</v>
      </c>
      <c r="F15" s="0" t="n">
        <v>2888.9</v>
      </c>
      <c r="G15" s="0" t="n">
        <v>3756</v>
      </c>
      <c r="H15" s="6" t="n">
        <f aca="false">G15*3*1.18</f>
        <v>13296.24</v>
      </c>
    </row>
    <row r="16" customFormat="false" ht="15" hidden="false" customHeight="false" outlineLevel="0" collapsed="false">
      <c r="A16" s="0" t="n">
        <v>13</v>
      </c>
      <c r="B16" s="5" t="n">
        <v>46056</v>
      </c>
      <c r="C16" s="3" t="s">
        <v>28</v>
      </c>
      <c r="D16" s="3" t="s">
        <v>484</v>
      </c>
      <c r="E16" s="0" t="n">
        <v>543</v>
      </c>
      <c r="F16" s="0" t="n">
        <v>5536.4</v>
      </c>
      <c r="G16" s="0" t="n">
        <v>7112.9</v>
      </c>
      <c r="H16" s="6" t="n">
        <f aca="false">G16*2.1*1.18</f>
        <v>17625.7662</v>
      </c>
    </row>
    <row r="17" customFormat="false" ht="15" hidden="false" customHeight="false" outlineLevel="0" collapsed="false">
      <c r="A17" s="0" t="n">
        <v>14</v>
      </c>
      <c r="B17" s="5" t="n">
        <v>46056</v>
      </c>
      <c r="C17" s="3" t="s">
        <v>28</v>
      </c>
      <c r="D17" s="3" t="s">
        <v>485</v>
      </c>
      <c r="E17" s="0" t="n">
        <v>543</v>
      </c>
      <c r="F17" s="0" t="n">
        <v>5536.4</v>
      </c>
      <c r="G17" s="0" t="n">
        <v>7112.9</v>
      </c>
      <c r="H17" s="6" t="n">
        <f aca="false">G17*3.2*1.18</f>
        <v>26858.3104</v>
      </c>
    </row>
    <row r="18" customFormat="false" ht="15" hidden="false" customHeight="false" outlineLevel="0" collapsed="false">
      <c r="A18" s="0" t="n">
        <v>15</v>
      </c>
      <c r="B18" s="5" t="n">
        <v>46056</v>
      </c>
      <c r="C18" s="3" t="s">
        <v>28</v>
      </c>
      <c r="D18" s="3" t="s">
        <v>486</v>
      </c>
      <c r="E18" s="0" t="n">
        <v>543</v>
      </c>
      <c r="F18" s="0" t="n">
        <v>5536.4</v>
      </c>
      <c r="G18" s="0" t="n">
        <v>7112.9</v>
      </c>
      <c r="H18" s="6" t="n">
        <f aca="false">G18*3*1.18</f>
        <v>25179.666</v>
      </c>
    </row>
    <row r="19" customFormat="false" ht="15" hidden="false" customHeight="false" outlineLevel="0" collapsed="false">
      <c r="A19" s="0" t="n">
        <v>16</v>
      </c>
      <c r="B19" s="5" t="n">
        <v>46056</v>
      </c>
      <c r="C19" s="3" t="s">
        <v>48</v>
      </c>
      <c r="D19" s="3" t="s">
        <v>484</v>
      </c>
      <c r="E19" s="0" t="n">
        <v>156</v>
      </c>
      <c r="F19" s="0" t="n">
        <v>3264.8</v>
      </c>
      <c r="G19" s="0" t="n">
        <v>3265</v>
      </c>
      <c r="H19" s="6" t="n">
        <f aca="false">G19*2.1*1.18</f>
        <v>8090.67</v>
      </c>
    </row>
    <row r="20" customFormat="false" ht="15" hidden="false" customHeight="false" outlineLevel="0" collapsed="false">
      <c r="A20" s="0" t="n">
        <v>17</v>
      </c>
      <c r="B20" s="5" t="n">
        <v>46056</v>
      </c>
      <c r="C20" s="3" t="s">
        <v>48</v>
      </c>
      <c r="D20" s="3" t="s">
        <v>485</v>
      </c>
      <c r="E20" s="0" t="n">
        <v>156</v>
      </c>
      <c r="F20" s="0" t="n">
        <v>3264.8</v>
      </c>
      <c r="G20" s="0" t="n">
        <v>3265</v>
      </c>
      <c r="H20" s="6" t="n">
        <f aca="false">G20*3.2*1.18</f>
        <v>12328.64</v>
      </c>
    </row>
    <row r="21" customFormat="false" ht="15" hidden="false" customHeight="false" outlineLevel="0" collapsed="false">
      <c r="A21" s="0" t="n">
        <v>18</v>
      </c>
      <c r="B21" s="5" t="n">
        <v>46056</v>
      </c>
      <c r="C21" s="3" t="s">
        <v>48</v>
      </c>
      <c r="D21" s="3" t="s">
        <v>486</v>
      </c>
      <c r="E21" s="0" t="n">
        <v>156</v>
      </c>
      <c r="F21" s="0" t="n">
        <v>3264.8</v>
      </c>
      <c r="G21" s="0" t="n">
        <v>3265</v>
      </c>
      <c r="H21" s="6" t="n">
        <f aca="false">G21*3*1.18</f>
        <v>11558.1</v>
      </c>
    </row>
    <row r="22" customFormat="false" ht="15" hidden="false" customHeight="false" outlineLevel="0" collapsed="false">
      <c r="A22" s="0" t="n">
        <v>19</v>
      </c>
      <c r="B22" s="5" t="n">
        <v>46057</v>
      </c>
      <c r="C22" s="3" t="s">
        <v>28</v>
      </c>
      <c r="D22" s="3" t="s">
        <v>484</v>
      </c>
      <c r="E22" s="0" t="n">
        <v>162</v>
      </c>
      <c r="F22" s="0" t="n">
        <v>5224.2</v>
      </c>
      <c r="G22" s="0" t="n">
        <v>5224.8</v>
      </c>
      <c r="H22" s="6" t="n">
        <f aca="false">G22*2.1*1.18</f>
        <v>12947.0544</v>
      </c>
    </row>
    <row r="23" customFormat="false" ht="15" hidden="false" customHeight="false" outlineLevel="0" collapsed="false">
      <c r="A23" s="0" t="n">
        <v>20</v>
      </c>
      <c r="B23" s="5" t="n">
        <v>46057</v>
      </c>
      <c r="C23" s="3" t="s">
        <v>28</v>
      </c>
      <c r="D23" s="3" t="s">
        <v>485</v>
      </c>
      <c r="E23" s="0" t="n">
        <v>162</v>
      </c>
      <c r="F23" s="0" t="n">
        <v>5224.2</v>
      </c>
      <c r="G23" s="0" t="n">
        <v>5224.8</v>
      </c>
      <c r="H23" s="6" t="n">
        <f aca="false">G23*3.2*1.18</f>
        <v>19728.8448</v>
      </c>
    </row>
    <row r="24" customFormat="false" ht="15" hidden="false" customHeight="false" outlineLevel="0" collapsed="false">
      <c r="A24" s="0" t="n">
        <v>21</v>
      </c>
      <c r="B24" s="5" t="n">
        <v>46057</v>
      </c>
      <c r="C24" s="3" t="s">
        <v>28</v>
      </c>
      <c r="D24" s="3" t="s">
        <v>486</v>
      </c>
      <c r="E24" s="0" t="n">
        <v>162</v>
      </c>
      <c r="F24" s="0" t="n">
        <v>5224.2</v>
      </c>
      <c r="G24" s="0" t="n">
        <v>5224.8</v>
      </c>
      <c r="H24" s="6" t="n">
        <f aca="false">G24*3*1.18</f>
        <v>18495.792</v>
      </c>
    </row>
    <row r="25" customFormat="false" ht="15" hidden="false" customHeight="false" outlineLevel="0" collapsed="false">
      <c r="A25" s="0" t="n">
        <v>22</v>
      </c>
      <c r="B25" s="5" t="n">
        <v>46057</v>
      </c>
      <c r="C25" s="3" t="s">
        <v>48</v>
      </c>
      <c r="D25" s="3" t="s">
        <v>484</v>
      </c>
      <c r="E25" s="0" t="n">
        <v>37</v>
      </c>
      <c r="F25" s="0" t="n">
        <v>2472.8</v>
      </c>
      <c r="G25" s="0" t="n">
        <v>2472.9</v>
      </c>
      <c r="H25" s="6" t="n">
        <f aca="false">G25*2.1*1.18</f>
        <v>6127.8462</v>
      </c>
    </row>
    <row r="26" customFormat="false" ht="15" hidden="false" customHeight="false" outlineLevel="0" collapsed="false">
      <c r="A26" s="0" t="n">
        <v>23</v>
      </c>
      <c r="B26" s="5" t="n">
        <v>46057</v>
      </c>
      <c r="C26" s="3" t="s">
        <v>48</v>
      </c>
      <c r="D26" s="3" t="s">
        <v>485</v>
      </c>
      <c r="E26" s="0" t="n">
        <v>37</v>
      </c>
      <c r="F26" s="0" t="n">
        <v>2472.8</v>
      </c>
      <c r="G26" s="0" t="n">
        <v>2472.9</v>
      </c>
      <c r="H26" s="6" t="n">
        <f aca="false">G26*3.2*1.18</f>
        <v>9337.6704</v>
      </c>
    </row>
    <row r="27" customFormat="false" ht="15" hidden="false" customHeight="false" outlineLevel="0" collapsed="false">
      <c r="A27" s="0" t="n">
        <v>24</v>
      </c>
      <c r="B27" s="5" t="n">
        <v>46057</v>
      </c>
      <c r="C27" s="3" t="s">
        <v>48</v>
      </c>
      <c r="D27" s="3" t="s">
        <v>486</v>
      </c>
      <c r="E27" s="0" t="n">
        <v>37</v>
      </c>
      <c r="F27" s="0" t="n">
        <v>2472.8</v>
      </c>
      <c r="G27" s="0" t="n">
        <v>2472.9</v>
      </c>
      <c r="H27" s="6" t="n">
        <f aca="false">G27*3*1.18</f>
        <v>8754.066</v>
      </c>
    </row>
    <row r="28" customFormat="false" ht="15" hidden="false" customHeight="false" outlineLevel="0" collapsed="false">
      <c r="A28" s="0" t="n">
        <v>25</v>
      </c>
      <c r="B28" s="5" t="n">
        <v>46058</v>
      </c>
      <c r="C28" s="3" t="s">
        <v>28</v>
      </c>
      <c r="D28" s="3" t="s">
        <v>484</v>
      </c>
      <c r="E28" s="0" t="n">
        <v>130</v>
      </c>
      <c r="F28" s="0" t="n">
        <v>2689.6</v>
      </c>
      <c r="G28" s="0" t="n">
        <v>3496.7</v>
      </c>
      <c r="H28" s="6" t="n">
        <f aca="false">G28*2.1*1.18</f>
        <v>8664.8226</v>
      </c>
    </row>
    <row r="29" customFormat="false" ht="15" hidden="false" customHeight="false" outlineLevel="0" collapsed="false">
      <c r="A29" s="0" t="n">
        <v>26</v>
      </c>
      <c r="B29" s="5" t="n">
        <v>46058</v>
      </c>
      <c r="C29" s="3" t="s">
        <v>28</v>
      </c>
      <c r="D29" s="3" t="s">
        <v>485</v>
      </c>
      <c r="E29" s="0" t="n">
        <v>130</v>
      </c>
      <c r="F29" s="0" t="n">
        <v>2689.6</v>
      </c>
      <c r="G29" s="0" t="n">
        <v>3496.7</v>
      </c>
      <c r="H29" s="6" t="n">
        <f aca="false">G29*3.2*1.18</f>
        <v>13203.5392</v>
      </c>
    </row>
    <row r="30" customFormat="false" ht="15" hidden="false" customHeight="false" outlineLevel="0" collapsed="false">
      <c r="A30" s="0" t="n">
        <v>27</v>
      </c>
      <c r="B30" s="5" t="n">
        <v>46058</v>
      </c>
      <c r="C30" s="3" t="s">
        <v>28</v>
      </c>
      <c r="D30" s="3" t="s">
        <v>486</v>
      </c>
      <c r="E30" s="0" t="n">
        <v>130</v>
      </c>
      <c r="F30" s="0" t="n">
        <v>2689.6</v>
      </c>
      <c r="G30" s="0" t="n">
        <v>3496.7</v>
      </c>
      <c r="H30" s="6" t="n">
        <f aca="false">G30*3*1.18</f>
        <v>12378.318</v>
      </c>
    </row>
    <row r="31" customFormat="false" ht="15" hidden="false" customHeight="false" outlineLevel="0" collapsed="false">
      <c r="A31" s="0" t="n">
        <v>28</v>
      </c>
      <c r="B31" s="5" t="n">
        <v>46058</v>
      </c>
      <c r="C31" s="3" t="s">
        <v>48</v>
      </c>
      <c r="D31" s="3" t="s">
        <v>484</v>
      </c>
      <c r="E31" s="0" t="n">
        <v>267</v>
      </c>
      <c r="F31" s="0" t="n">
        <v>3084</v>
      </c>
      <c r="G31" s="0" t="n">
        <v>3084.5</v>
      </c>
      <c r="H31" s="6" t="n">
        <f aca="false">G31*2.1*1.18</f>
        <v>7643.391</v>
      </c>
    </row>
    <row r="32" customFormat="false" ht="15" hidden="false" customHeight="false" outlineLevel="0" collapsed="false">
      <c r="A32" s="0" t="n">
        <v>29</v>
      </c>
      <c r="B32" s="5" t="n">
        <v>46058</v>
      </c>
      <c r="C32" s="3" t="s">
        <v>48</v>
      </c>
      <c r="D32" s="3" t="s">
        <v>485</v>
      </c>
      <c r="E32" s="0" t="n">
        <v>267</v>
      </c>
      <c r="F32" s="0" t="n">
        <v>3084</v>
      </c>
      <c r="G32" s="0" t="n">
        <v>3084.5</v>
      </c>
      <c r="H32" s="6" t="n">
        <f aca="false">G32*3.2*1.18</f>
        <v>11647.072</v>
      </c>
    </row>
    <row r="33" customFormat="false" ht="15" hidden="false" customHeight="false" outlineLevel="0" collapsed="false">
      <c r="A33" s="0" t="n">
        <v>30</v>
      </c>
      <c r="B33" s="5" t="n">
        <v>46058</v>
      </c>
      <c r="C33" s="3" t="s">
        <v>48</v>
      </c>
      <c r="D33" s="3" t="s">
        <v>486</v>
      </c>
      <c r="E33" s="0" t="n">
        <v>267</v>
      </c>
      <c r="F33" s="0" t="n">
        <v>3084</v>
      </c>
      <c r="G33" s="0" t="n">
        <v>3084.5</v>
      </c>
      <c r="H33" s="6" t="n">
        <f aca="false">G33*3*1.18</f>
        <v>10919.13</v>
      </c>
    </row>
    <row r="34" customFormat="false" ht="15" hidden="false" customHeight="false" outlineLevel="0" collapsed="false">
      <c r="A34" s="0" t="n">
        <v>31</v>
      </c>
      <c r="B34" s="5" t="n">
        <v>46059</v>
      </c>
      <c r="C34" s="3" t="s">
        <v>28</v>
      </c>
      <c r="D34" s="3" t="s">
        <v>484</v>
      </c>
      <c r="E34" s="0" t="n">
        <v>610</v>
      </c>
      <c r="F34" s="0" t="n">
        <v>4948.7</v>
      </c>
      <c r="G34" s="0" t="n">
        <v>6102.5</v>
      </c>
      <c r="H34" s="6" t="n">
        <f aca="false">G34*2.1*1.18</f>
        <v>15121.995</v>
      </c>
    </row>
    <row r="35" customFormat="false" ht="15" hidden="false" customHeight="false" outlineLevel="0" collapsed="false">
      <c r="A35" s="0" t="n">
        <v>32</v>
      </c>
      <c r="B35" s="5" t="n">
        <v>46059</v>
      </c>
      <c r="C35" s="3" t="s">
        <v>28</v>
      </c>
      <c r="D35" s="3" t="s">
        <v>485</v>
      </c>
      <c r="E35" s="0" t="n">
        <v>610</v>
      </c>
      <c r="F35" s="0" t="n">
        <v>4948.7</v>
      </c>
      <c r="G35" s="0" t="n">
        <v>6102.5</v>
      </c>
      <c r="H35" s="6" t="n">
        <f aca="false">G35*3.2*1.18</f>
        <v>23043.04</v>
      </c>
    </row>
    <row r="36" customFormat="false" ht="15" hidden="false" customHeight="false" outlineLevel="0" collapsed="false">
      <c r="A36" s="0" t="n">
        <v>33</v>
      </c>
      <c r="B36" s="5" t="n">
        <v>46059</v>
      </c>
      <c r="C36" s="3" t="s">
        <v>28</v>
      </c>
      <c r="D36" s="3" t="s">
        <v>486</v>
      </c>
      <c r="E36" s="0" t="n">
        <v>610</v>
      </c>
      <c r="F36" s="0" t="n">
        <v>4948.7</v>
      </c>
      <c r="G36" s="0" t="n">
        <v>6102.5</v>
      </c>
      <c r="H36" s="6" t="n">
        <f aca="false">G36*3*1.18</f>
        <v>21602.85</v>
      </c>
    </row>
    <row r="37" customFormat="false" ht="15" hidden="false" customHeight="false" outlineLevel="0" collapsed="false">
      <c r="A37" s="0" t="n">
        <v>34</v>
      </c>
      <c r="B37" s="5" t="n">
        <v>46060</v>
      </c>
      <c r="C37" s="3" t="s">
        <v>28</v>
      </c>
      <c r="D37" s="3" t="s">
        <v>484</v>
      </c>
      <c r="E37" s="0" t="n">
        <v>547</v>
      </c>
      <c r="F37" s="0" t="n">
        <v>3805.5</v>
      </c>
      <c r="G37" s="0" t="n">
        <v>3806.1</v>
      </c>
      <c r="H37" s="6" t="n">
        <f aca="false">G37*2.1*1.18</f>
        <v>9431.5158</v>
      </c>
    </row>
    <row r="38" customFormat="false" ht="15" hidden="false" customHeight="false" outlineLevel="0" collapsed="false">
      <c r="A38" s="0" t="n">
        <v>35</v>
      </c>
      <c r="B38" s="5" t="n">
        <v>46060</v>
      </c>
      <c r="C38" s="3" t="s">
        <v>28</v>
      </c>
      <c r="D38" s="3" t="s">
        <v>485</v>
      </c>
      <c r="E38" s="0" t="n">
        <v>547</v>
      </c>
      <c r="F38" s="0" t="n">
        <v>3805.5</v>
      </c>
      <c r="G38" s="0" t="n">
        <v>3806.1</v>
      </c>
      <c r="H38" s="6" t="n">
        <f aca="false">G38*3.2*1.18</f>
        <v>14371.8336</v>
      </c>
    </row>
    <row r="39" customFormat="false" ht="15" hidden="false" customHeight="false" outlineLevel="0" collapsed="false">
      <c r="A39" s="0" t="n">
        <v>36</v>
      </c>
      <c r="B39" s="5" t="n">
        <v>46060</v>
      </c>
      <c r="C39" s="3" t="s">
        <v>28</v>
      </c>
      <c r="D39" s="3" t="s">
        <v>486</v>
      </c>
      <c r="E39" s="0" t="n">
        <v>547</v>
      </c>
      <c r="F39" s="0" t="n">
        <v>3805.5</v>
      </c>
      <c r="G39" s="0" t="n">
        <v>3806.1</v>
      </c>
      <c r="H39" s="6" t="n">
        <f aca="false">G39*3*1.18</f>
        <v>13473.594</v>
      </c>
    </row>
    <row r="40" customFormat="false" ht="15" hidden="false" customHeight="false" outlineLevel="0" collapsed="false">
      <c r="A40" s="0" t="n">
        <v>37</v>
      </c>
      <c r="B40" s="5" t="n">
        <v>46060</v>
      </c>
      <c r="C40" s="3" t="s">
        <v>48</v>
      </c>
      <c r="D40" s="3" t="s">
        <v>484</v>
      </c>
      <c r="E40" s="0" t="n">
        <v>320</v>
      </c>
      <c r="F40" s="0" t="n">
        <v>2766.4</v>
      </c>
      <c r="G40" s="0" t="n">
        <v>2801.5</v>
      </c>
      <c r="H40" s="6" t="n">
        <f aca="false">G40*2.1*1.18</f>
        <v>6942.117</v>
      </c>
    </row>
    <row r="41" customFormat="false" ht="15" hidden="false" customHeight="false" outlineLevel="0" collapsed="false">
      <c r="A41" s="0" t="n">
        <v>38</v>
      </c>
      <c r="B41" s="5" t="n">
        <v>46060</v>
      </c>
      <c r="C41" s="3" t="s">
        <v>48</v>
      </c>
      <c r="D41" s="3" t="s">
        <v>485</v>
      </c>
      <c r="E41" s="0" t="n">
        <v>320</v>
      </c>
      <c r="F41" s="0" t="n">
        <v>2766.4</v>
      </c>
      <c r="G41" s="0" t="n">
        <v>2801.5</v>
      </c>
      <c r="H41" s="6" t="n">
        <f aca="false">G41*3.2*1.18</f>
        <v>10578.464</v>
      </c>
    </row>
    <row r="42" customFormat="false" ht="15" hidden="false" customHeight="false" outlineLevel="0" collapsed="false">
      <c r="A42" s="0" t="n">
        <v>39</v>
      </c>
      <c r="B42" s="5" t="n">
        <v>46060</v>
      </c>
      <c r="C42" s="3" t="s">
        <v>48</v>
      </c>
      <c r="D42" s="3" t="s">
        <v>486</v>
      </c>
      <c r="E42" s="0" t="n">
        <v>320</v>
      </c>
      <c r="F42" s="0" t="n">
        <v>2766.4</v>
      </c>
      <c r="G42" s="0" t="n">
        <v>2801.5</v>
      </c>
      <c r="H42" s="6" t="n">
        <f aca="false">G42*3*1.18</f>
        <v>9917.31</v>
      </c>
    </row>
    <row r="43" customFormat="false" ht="15" hidden="false" customHeight="false" outlineLevel="0" collapsed="false">
      <c r="A43" s="0" t="n">
        <v>40</v>
      </c>
      <c r="B43" s="5" t="n">
        <v>46061</v>
      </c>
      <c r="C43" s="3" t="s">
        <v>28</v>
      </c>
      <c r="D43" s="3" t="s">
        <v>484</v>
      </c>
      <c r="E43" s="0" t="n">
        <v>650</v>
      </c>
      <c r="F43" s="0" t="n">
        <v>14432.9</v>
      </c>
      <c r="G43" s="0" t="n">
        <v>16197.3</v>
      </c>
      <c r="H43" s="6" t="n">
        <f aca="false">G43*2.1*1.18</f>
        <v>40136.9094</v>
      </c>
    </row>
    <row r="44" customFormat="false" ht="15" hidden="false" customHeight="false" outlineLevel="0" collapsed="false">
      <c r="A44" s="0" t="n">
        <v>41</v>
      </c>
      <c r="B44" s="5" t="n">
        <v>46061</v>
      </c>
      <c r="C44" s="3" t="s">
        <v>28</v>
      </c>
      <c r="D44" s="3" t="s">
        <v>485</v>
      </c>
      <c r="E44" s="0" t="n">
        <v>650</v>
      </c>
      <c r="F44" s="0" t="n">
        <v>14432.9</v>
      </c>
      <c r="G44" s="0" t="n">
        <v>16197.3</v>
      </c>
      <c r="H44" s="6" t="n">
        <f aca="false">G44*3.2*1.18</f>
        <v>61161.0048</v>
      </c>
    </row>
    <row r="45" customFormat="false" ht="15" hidden="false" customHeight="false" outlineLevel="0" collapsed="false">
      <c r="A45" s="0" t="n">
        <v>42</v>
      </c>
      <c r="B45" s="5" t="n">
        <v>46061</v>
      </c>
      <c r="C45" s="3" t="s">
        <v>28</v>
      </c>
      <c r="D45" s="3" t="s">
        <v>486</v>
      </c>
      <c r="E45" s="0" t="n">
        <v>650</v>
      </c>
      <c r="F45" s="0" t="n">
        <v>14432.9</v>
      </c>
      <c r="G45" s="0" t="n">
        <v>16197.3</v>
      </c>
      <c r="H45" s="6" t="n">
        <f aca="false">G45*3*1.18</f>
        <v>57338.442</v>
      </c>
    </row>
    <row r="46" customFormat="false" ht="15" hidden="false" customHeight="false" outlineLevel="0" collapsed="false">
      <c r="D46" s="7" t="s">
        <v>487</v>
      </c>
      <c r="H46" s="8" t="n">
        <f aca="false">SUM(H4:H45)</f>
        <v>679184.518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488</v>
      </c>
    </row>
    <row r="2" customFormat="false" ht="15" hidden="false" customHeight="false" outlineLevel="0" collapsed="false">
      <c r="B2" s="0" t="s">
        <v>489</v>
      </c>
      <c r="C2" s="0" t="s">
        <v>485</v>
      </c>
    </row>
    <row r="3" customFormat="false" ht="23.85" hidden="false" customHeight="false" outlineLevel="0" collapsed="false">
      <c r="A3" s="1" t="s">
        <v>476</v>
      </c>
      <c r="B3" s="1" t="s">
        <v>490</v>
      </c>
      <c r="C3" s="1" t="s">
        <v>491</v>
      </c>
      <c r="D3" s="1" t="s">
        <v>492</v>
      </c>
      <c r="E3" s="1" t="s">
        <v>493</v>
      </c>
      <c r="F3" s="1" t="s">
        <v>494</v>
      </c>
      <c r="G3" s="1" t="s">
        <v>495</v>
      </c>
      <c r="H3" s="1" t="s">
        <v>7</v>
      </c>
      <c r="I3" s="1" t="s">
        <v>496</v>
      </c>
      <c r="J3" s="1" t="s">
        <v>497</v>
      </c>
      <c r="K3" s="1" t="s">
        <v>498</v>
      </c>
      <c r="L3" s="1" t="s">
        <v>499</v>
      </c>
    </row>
    <row r="4" customFormat="false" ht="15" hidden="false" customHeight="false" outlineLevel="0" collapsed="false">
      <c r="A4" s="0" t="n">
        <v>1</v>
      </c>
      <c r="B4" s="0" t="s">
        <v>28</v>
      </c>
      <c r="C4" s="5" t="n">
        <v>46054</v>
      </c>
      <c r="D4" s="3" t="s">
        <v>29</v>
      </c>
      <c r="E4" s="3" t="s">
        <v>30</v>
      </c>
      <c r="F4" s="3" t="s">
        <v>31</v>
      </c>
      <c r="G4" s="3" t="s">
        <v>32</v>
      </c>
      <c r="H4" s="0" t="n">
        <v>131</v>
      </c>
      <c r="I4" s="0" t="n">
        <v>632.55</v>
      </c>
      <c r="J4" s="0" t="n">
        <v>632.99</v>
      </c>
      <c r="K4" s="0" t="n">
        <v>632.99</v>
      </c>
      <c r="L4" s="3" t="s">
        <v>39</v>
      </c>
    </row>
    <row r="5" customFormat="false" ht="15" hidden="false" customHeight="false" outlineLevel="0" collapsed="false">
      <c r="A5" s="0" t="n">
        <v>2</v>
      </c>
      <c r="B5" s="0" t="s">
        <v>28</v>
      </c>
      <c r="C5" s="5" t="n">
        <v>46054</v>
      </c>
      <c r="D5" s="3" t="s">
        <v>40</v>
      </c>
      <c r="E5" s="3" t="s">
        <v>30</v>
      </c>
      <c r="F5" s="3" t="s">
        <v>31</v>
      </c>
      <c r="G5" s="3" t="s">
        <v>41</v>
      </c>
      <c r="H5" s="0" t="n">
        <v>44</v>
      </c>
      <c r="I5" s="0" t="n">
        <v>3043.96</v>
      </c>
      <c r="J5" s="0" t="n">
        <v>4566.3</v>
      </c>
      <c r="K5" s="0" t="n">
        <v>4566.3</v>
      </c>
      <c r="L5" s="3" t="s">
        <v>39</v>
      </c>
    </row>
    <row r="6" customFormat="false" ht="15" hidden="false" customHeight="false" outlineLevel="0" collapsed="false">
      <c r="A6" s="0" t="n">
        <v>3</v>
      </c>
      <c r="B6" s="0" t="s">
        <v>48</v>
      </c>
      <c r="C6" s="5" t="n">
        <v>46054</v>
      </c>
      <c r="D6" s="3" t="s">
        <v>49</v>
      </c>
      <c r="E6" s="3" t="s">
        <v>30</v>
      </c>
      <c r="F6" s="3" t="s">
        <v>31</v>
      </c>
      <c r="G6" s="3" t="s">
        <v>50</v>
      </c>
      <c r="H6" s="0" t="n">
        <v>10</v>
      </c>
      <c r="I6" s="0" t="n">
        <v>2947.21</v>
      </c>
      <c r="J6" s="0" t="n">
        <v>2947.58</v>
      </c>
      <c r="K6" s="0" t="n">
        <v>2947.58</v>
      </c>
      <c r="L6" s="3" t="s">
        <v>39</v>
      </c>
    </row>
    <row r="7" customFormat="false" ht="15" hidden="false" customHeight="false" outlineLevel="0" collapsed="false">
      <c r="A7" s="0" t="n">
        <v>4</v>
      </c>
      <c r="B7" s="0" t="s">
        <v>48</v>
      </c>
      <c r="C7" s="5" t="n">
        <v>46054</v>
      </c>
      <c r="D7" s="3" t="s">
        <v>57</v>
      </c>
      <c r="E7" s="3" t="s">
        <v>30</v>
      </c>
      <c r="F7" s="3" t="s">
        <v>31</v>
      </c>
      <c r="G7" s="3" t="s">
        <v>58</v>
      </c>
      <c r="H7" s="0" t="n">
        <v>120</v>
      </c>
      <c r="I7" s="0" t="n">
        <v>2000.34</v>
      </c>
      <c r="J7" s="0" t="n">
        <v>2000.81</v>
      </c>
      <c r="K7" s="0" t="n">
        <v>2000.81</v>
      </c>
      <c r="L7" s="3" t="s">
        <v>65</v>
      </c>
    </row>
    <row r="8" customFormat="false" ht="15" hidden="false" customHeight="false" outlineLevel="0" collapsed="false">
      <c r="A8" s="0" t="n">
        <v>5</v>
      </c>
      <c r="B8" s="0" t="s">
        <v>28</v>
      </c>
      <c r="C8" s="5" t="n">
        <v>46055</v>
      </c>
      <c r="D8" s="3" t="s">
        <v>66</v>
      </c>
      <c r="E8" s="3" t="s">
        <v>67</v>
      </c>
      <c r="F8" s="3" t="s">
        <v>31</v>
      </c>
      <c r="G8" s="3" t="s">
        <v>68</v>
      </c>
      <c r="H8" s="0" t="n">
        <v>85</v>
      </c>
      <c r="I8" s="0" t="n">
        <v>748.65</v>
      </c>
      <c r="J8" s="0" t="n">
        <v>973.36</v>
      </c>
      <c r="K8" s="0" t="n">
        <v>973.36</v>
      </c>
      <c r="L8" s="3" t="s">
        <v>74</v>
      </c>
    </row>
    <row r="9" customFormat="false" ht="15" hidden="false" customHeight="false" outlineLevel="0" collapsed="false">
      <c r="A9" s="0" t="n">
        <v>6</v>
      </c>
      <c r="B9" s="0" t="s">
        <v>28</v>
      </c>
      <c r="C9" s="5" t="n">
        <v>46055</v>
      </c>
      <c r="D9" s="3" t="s">
        <v>75</v>
      </c>
      <c r="E9" s="3" t="s">
        <v>30</v>
      </c>
      <c r="F9" s="3" t="s">
        <v>31</v>
      </c>
      <c r="G9" s="3" t="s">
        <v>76</v>
      </c>
      <c r="H9" s="0" t="n">
        <v>148</v>
      </c>
      <c r="I9" s="0" t="n">
        <v>905.48</v>
      </c>
      <c r="J9" s="0" t="n">
        <v>905.77</v>
      </c>
      <c r="K9" s="0" t="n">
        <v>905.77</v>
      </c>
      <c r="L9" s="3" t="s">
        <v>39</v>
      </c>
    </row>
    <row r="10" customFormat="false" ht="15" hidden="false" customHeight="false" outlineLevel="0" collapsed="false">
      <c r="A10" s="0" t="n">
        <v>7</v>
      </c>
      <c r="B10" s="0" t="s">
        <v>48</v>
      </c>
      <c r="C10" s="5" t="n">
        <v>46055</v>
      </c>
      <c r="D10" s="3" t="s">
        <v>82</v>
      </c>
      <c r="E10" s="3" t="s">
        <v>30</v>
      </c>
      <c r="F10" s="3" t="s">
        <v>31</v>
      </c>
      <c r="G10" s="3" t="s">
        <v>68</v>
      </c>
      <c r="H10" s="0" t="n">
        <v>186</v>
      </c>
      <c r="I10" s="0" t="n">
        <v>1472.3</v>
      </c>
      <c r="J10" s="0" t="n">
        <v>1914.14</v>
      </c>
      <c r="K10" s="0" t="n">
        <v>1914.14</v>
      </c>
      <c r="L10" s="3" t="s">
        <v>89</v>
      </c>
    </row>
    <row r="11" customFormat="false" ht="15" hidden="false" customHeight="false" outlineLevel="0" collapsed="false">
      <c r="A11" s="0" t="n">
        <v>8</v>
      </c>
      <c r="B11" s="0" t="s">
        <v>48</v>
      </c>
      <c r="C11" s="5" t="n">
        <v>46055</v>
      </c>
      <c r="D11" s="3" t="s">
        <v>90</v>
      </c>
      <c r="E11" s="3" t="s">
        <v>30</v>
      </c>
      <c r="F11" s="3" t="s">
        <v>31</v>
      </c>
      <c r="G11" s="3" t="s">
        <v>58</v>
      </c>
      <c r="H11" s="0" t="n">
        <v>81</v>
      </c>
      <c r="I11" s="0" t="n">
        <v>1416.57</v>
      </c>
      <c r="J11" s="0" t="n">
        <v>1841.82</v>
      </c>
      <c r="K11" s="0" t="n">
        <v>1841.82</v>
      </c>
      <c r="L11" s="3" t="s">
        <v>89</v>
      </c>
    </row>
    <row r="12" customFormat="false" ht="15" hidden="false" customHeight="false" outlineLevel="0" collapsed="false">
      <c r="A12" s="0" t="n">
        <v>9</v>
      </c>
      <c r="B12" s="0" t="s">
        <v>28</v>
      </c>
      <c r="C12" s="5" t="n">
        <v>46056</v>
      </c>
      <c r="D12" s="3" t="s">
        <v>97</v>
      </c>
      <c r="E12" s="3" t="s">
        <v>30</v>
      </c>
      <c r="F12" s="3" t="s">
        <v>31</v>
      </c>
      <c r="G12" s="3" t="s">
        <v>98</v>
      </c>
      <c r="H12" s="0" t="n">
        <v>184</v>
      </c>
      <c r="I12" s="0" t="n">
        <v>2660.62</v>
      </c>
      <c r="J12" s="0" t="n">
        <v>3991.04</v>
      </c>
      <c r="K12" s="0" t="n">
        <v>3991.04</v>
      </c>
      <c r="L12" s="3" t="s">
        <v>39</v>
      </c>
    </row>
    <row r="13" customFormat="false" ht="15" hidden="false" customHeight="false" outlineLevel="0" collapsed="false">
      <c r="A13" s="0" t="n">
        <v>10</v>
      </c>
      <c r="B13" s="0" t="s">
        <v>28</v>
      </c>
      <c r="C13" s="5" t="n">
        <v>46056</v>
      </c>
      <c r="D13" s="3" t="s">
        <v>105</v>
      </c>
      <c r="E13" s="3" t="s">
        <v>30</v>
      </c>
      <c r="F13" s="3" t="s">
        <v>31</v>
      </c>
      <c r="G13" s="3" t="s">
        <v>106</v>
      </c>
      <c r="H13" s="0" t="n">
        <v>143</v>
      </c>
      <c r="I13" s="0" t="n">
        <v>818.86</v>
      </c>
      <c r="J13" s="0" t="n">
        <v>1064.59</v>
      </c>
      <c r="K13" s="0" t="n">
        <v>1064.59</v>
      </c>
      <c r="L13" s="3" t="s">
        <v>39</v>
      </c>
    </row>
    <row r="14" customFormat="false" ht="15" hidden="false" customHeight="false" outlineLevel="0" collapsed="false">
      <c r="A14" s="0" t="n">
        <v>11</v>
      </c>
      <c r="B14" s="0" t="s">
        <v>28</v>
      </c>
      <c r="C14" s="5" t="n">
        <v>46056</v>
      </c>
      <c r="D14" s="3" t="s">
        <v>112</v>
      </c>
      <c r="E14" s="3" t="s">
        <v>67</v>
      </c>
      <c r="F14" s="3" t="s">
        <v>31</v>
      </c>
      <c r="G14" s="3" t="s">
        <v>68</v>
      </c>
      <c r="H14" s="0" t="n">
        <v>216</v>
      </c>
      <c r="I14" s="0" t="n">
        <v>2056.92</v>
      </c>
      <c r="J14" s="0" t="n">
        <v>2057.24</v>
      </c>
      <c r="K14" s="0" t="n">
        <v>2057.24</v>
      </c>
      <c r="L14" s="3" t="s">
        <v>39</v>
      </c>
    </row>
    <row r="15" customFormat="false" ht="15" hidden="false" customHeight="false" outlineLevel="0" collapsed="false">
      <c r="A15" s="0" t="n">
        <v>12</v>
      </c>
      <c r="B15" s="0" t="s">
        <v>48</v>
      </c>
      <c r="C15" s="5" t="n">
        <v>46056</v>
      </c>
      <c r="D15" s="3" t="s">
        <v>118</v>
      </c>
      <c r="E15" s="3" t="s">
        <v>30</v>
      </c>
      <c r="F15" s="3" t="s">
        <v>31</v>
      </c>
      <c r="G15" s="3" t="s">
        <v>76</v>
      </c>
      <c r="H15" s="0" t="n">
        <v>21</v>
      </c>
      <c r="I15" s="0" t="n">
        <v>2136.44</v>
      </c>
      <c r="J15" s="0" t="n">
        <v>2136.46</v>
      </c>
      <c r="K15" s="0" t="n">
        <v>2136.46</v>
      </c>
      <c r="L15" s="3" t="s">
        <v>39</v>
      </c>
    </row>
    <row r="16" customFormat="false" ht="15" hidden="false" customHeight="false" outlineLevel="0" collapsed="false">
      <c r="A16" s="0" t="n">
        <v>13</v>
      </c>
      <c r="B16" s="0" t="s">
        <v>48</v>
      </c>
      <c r="C16" s="5" t="n">
        <v>46056</v>
      </c>
      <c r="D16" s="3" t="s">
        <v>125</v>
      </c>
      <c r="E16" s="3" t="s">
        <v>30</v>
      </c>
      <c r="F16" s="3" t="s">
        <v>31</v>
      </c>
      <c r="G16" s="3" t="s">
        <v>50</v>
      </c>
      <c r="H16" s="0" t="n">
        <v>135</v>
      </c>
      <c r="I16" s="0" t="n">
        <v>1128.35</v>
      </c>
      <c r="J16" s="0" t="n">
        <v>1128.58</v>
      </c>
      <c r="K16" s="0" t="n">
        <v>1128.58</v>
      </c>
      <c r="L16" s="3" t="s">
        <v>39</v>
      </c>
    </row>
    <row r="17" customFormat="false" ht="15" hidden="false" customHeight="false" outlineLevel="0" collapsed="false">
      <c r="A17" s="0" t="n">
        <v>14</v>
      </c>
      <c r="B17" s="0" t="s">
        <v>28</v>
      </c>
      <c r="C17" s="5" t="n">
        <v>46057</v>
      </c>
      <c r="D17" s="3" t="s">
        <v>132</v>
      </c>
      <c r="E17" s="3" t="s">
        <v>30</v>
      </c>
      <c r="F17" s="3" t="s">
        <v>31</v>
      </c>
      <c r="G17" s="3" t="s">
        <v>41</v>
      </c>
      <c r="H17" s="0" t="n">
        <v>156</v>
      </c>
      <c r="I17" s="0" t="n">
        <v>2633.27</v>
      </c>
      <c r="J17" s="0" t="n">
        <v>2633.72</v>
      </c>
      <c r="K17" s="0" t="n">
        <v>2633.72</v>
      </c>
      <c r="L17" s="3" t="s">
        <v>138</v>
      </c>
    </row>
    <row r="18" customFormat="false" ht="15" hidden="false" customHeight="false" outlineLevel="0" collapsed="false">
      <c r="A18" s="0" t="n">
        <v>15</v>
      </c>
      <c r="B18" s="0" t="s">
        <v>28</v>
      </c>
      <c r="C18" s="5" t="n">
        <v>46057</v>
      </c>
      <c r="D18" s="3" t="s">
        <v>139</v>
      </c>
      <c r="E18" s="3" t="s">
        <v>67</v>
      </c>
      <c r="F18" s="3" t="s">
        <v>31</v>
      </c>
      <c r="G18" s="3" t="s">
        <v>140</v>
      </c>
      <c r="H18" s="0" t="n">
        <v>6</v>
      </c>
      <c r="I18" s="0" t="n">
        <v>2590.9</v>
      </c>
      <c r="J18" s="0" t="n">
        <v>2591.12</v>
      </c>
      <c r="K18" s="0" t="n">
        <v>2591.12</v>
      </c>
      <c r="L18" s="3" t="s">
        <v>39</v>
      </c>
    </row>
    <row r="19" customFormat="false" ht="15" hidden="false" customHeight="false" outlineLevel="0" collapsed="false">
      <c r="A19" s="0" t="n">
        <v>16</v>
      </c>
      <c r="B19" s="0" t="s">
        <v>48</v>
      </c>
      <c r="C19" s="5" t="n">
        <v>46057</v>
      </c>
      <c r="D19" s="3" t="s">
        <v>147</v>
      </c>
      <c r="E19" s="3" t="s">
        <v>30</v>
      </c>
      <c r="F19" s="3" t="s">
        <v>31</v>
      </c>
      <c r="G19" s="3" t="s">
        <v>76</v>
      </c>
      <c r="H19" s="0" t="n">
        <v>37</v>
      </c>
      <c r="I19" s="0" t="n">
        <v>2472.85</v>
      </c>
      <c r="J19" s="0" t="n">
        <v>2472.88</v>
      </c>
      <c r="K19" s="0" t="n">
        <v>2472.88</v>
      </c>
      <c r="L19" s="3" t="s">
        <v>39</v>
      </c>
    </row>
    <row r="20" customFormat="false" ht="15" hidden="false" customHeight="false" outlineLevel="0" collapsed="false">
      <c r="A20" s="0" t="n">
        <v>17</v>
      </c>
      <c r="B20" s="0" t="s">
        <v>28</v>
      </c>
      <c r="C20" s="5" t="n">
        <v>46058</v>
      </c>
      <c r="D20" s="3" t="s">
        <v>154</v>
      </c>
      <c r="E20" s="3" t="s">
        <v>30</v>
      </c>
      <c r="F20" s="3" t="s">
        <v>31</v>
      </c>
      <c r="G20" s="3" t="s">
        <v>50</v>
      </c>
      <c r="H20" s="0" t="n">
        <v>130</v>
      </c>
      <c r="I20" s="0" t="n">
        <v>2689.59</v>
      </c>
      <c r="J20" s="0" t="n">
        <v>3496.72</v>
      </c>
      <c r="K20" s="0" t="n">
        <v>3496.72</v>
      </c>
      <c r="L20" s="3" t="s">
        <v>39</v>
      </c>
    </row>
    <row r="21" customFormat="false" ht="15" hidden="false" customHeight="false" outlineLevel="0" collapsed="false">
      <c r="A21" s="0" t="n">
        <v>18</v>
      </c>
      <c r="B21" s="0" t="s">
        <v>48</v>
      </c>
      <c r="C21" s="5" t="n">
        <v>46058</v>
      </c>
      <c r="D21" s="3" t="s">
        <v>160</v>
      </c>
      <c r="E21" s="3" t="s">
        <v>30</v>
      </c>
      <c r="F21" s="3" t="s">
        <v>31</v>
      </c>
      <c r="G21" s="3" t="s">
        <v>50</v>
      </c>
      <c r="H21" s="0" t="n">
        <v>128</v>
      </c>
      <c r="I21" s="0" t="n">
        <v>3048.01</v>
      </c>
      <c r="J21" s="0" t="n">
        <v>3048.12</v>
      </c>
      <c r="K21" s="0" t="n">
        <v>3048.12</v>
      </c>
      <c r="L21" s="3" t="s">
        <v>39</v>
      </c>
    </row>
    <row r="22" customFormat="false" ht="15" hidden="false" customHeight="false" outlineLevel="0" collapsed="false">
      <c r="A22" s="0" t="n">
        <v>19</v>
      </c>
      <c r="B22" s="0" t="s">
        <v>48</v>
      </c>
      <c r="C22" s="5" t="n">
        <v>46058</v>
      </c>
      <c r="D22" s="3" t="s">
        <v>166</v>
      </c>
      <c r="E22" s="3" t="s">
        <v>30</v>
      </c>
      <c r="F22" s="3" t="s">
        <v>31</v>
      </c>
      <c r="G22" s="3" t="s">
        <v>58</v>
      </c>
      <c r="H22" s="0" t="n">
        <v>139</v>
      </c>
      <c r="I22" s="0" t="n">
        <v>36.02</v>
      </c>
      <c r="J22" s="0" t="n">
        <v>36.36</v>
      </c>
      <c r="K22" s="0" t="n">
        <v>36.36</v>
      </c>
      <c r="L22" s="3" t="s">
        <v>39</v>
      </c>
    </row>
    <row r="23" customFormat="false" ht="15" hidden="false" customHeight="false" outlineLevel="0" collapsed="false">
      <c r="A23" s="0" t="n">
        <v>20</v>
      </c>
      <c r="B23" s="0" t="s">
        <v>28</v>
      </c>
      <c r="C23" s="5" t="n">
        <v>46059</v>
      </c>
      <c r="D23" s="3" t="s">
        <v>172</v>
      </c>
      <c r="E23" s="3" t="s">
        <v>30</v>
      </c>
      <c r="F23" s="3" t="s">
        <v>31</v>
      </c>
      <c r="G23" s="3" t="s">
        <v>50</v>
      </c>
      <c r="H23" s="0" t="n">
        <v>206</v>
      </c>
      <c r="I23" s="0" t="n">
        <v>1016.42</v>
      </c>
      <c r="J23" s="0" t="n">
        <v>1524.95</v>
      </c>
      <c r="K23" s="0" t="n">
        <v>1524.95</v>
      </c>
      <c r="L23" s="3" t="s">
        <v>39</v>
      </c>
    </row>
    <row r="24" customFormat="false" ht="15" hidden="false" customHeight="false" outlineLevel="0" collapsed="false">
      <c r="A24" s="0" t="n">
        <v>21</v>
      </c>
      <c r="B24" s="0" t="s">
        <v>28</v>
      </c>
      <c r="C24" s="5" t="n">
        <v>46059</v>
      </c>
      <c r="D24" s="3" t="s">
        <v>178</v>
      </c>
      <c r="E24" s="3" t="s">
        <v>30</v>
      </c>
      <c r="F24" s="3" t="s">
        <v>31</v>
      </c>
      <c r="G24" s="3" t="s">
        <v>50</v>
      </c>
      <c r="H24" s="0" t="n">
        <v>25</v>
      </c>
      <c r="I24" s="0" t="n">
        <v>417.3</v>
      </c>
      <c r="J24" s="0" t="n">
        <v>542.89</v>
      </c>
      <c r="K24" s="0" t="n">
        <v>542.89</v>
      </c>
      <c r="L24" s="3" t="s">
        <v>183</v>
      </c>
    </row>
    <row r="25" customFormat="false" ht="15" hidden="false" customHeight="false" outlineLevel="0" collapsed="false">
      <c r="A25" s="0" t="n">
        <v>22</v>
      </c>
      <c r="B25" s="0" t="s">
        <v>28</v>
      </c>
      <c r="C25" s="5" t="n">
        <v>46059</v>
      </c>
      <c r="D25" s="3" t="s">
        <v>184</v>
      </c>
      <c r="E25" s="3" t="s">
        <v>67</v>
      </c>
      <c r="F25" s="3" t="s">
        <v>31</v>
      </c>
      <c r="G25" s="3" t="s">
        <v>98</v>
      </c>
      <c r="H25" s="0" t="n">
        <v>203</v>
      </c>
      <c r="I25" s="0" t="n">
        <v>836.91</v>
      </c>
      <c r="J25" s="0" t="n">
        <v>1088.35</v>
      </c>
      <c r="K25" s="0" t="n">
        <v>1088.35</v>
      </c>
      <c r="L25" s="3" t="s">
        <v>74</v>
      </c>
    </row>
    <row r="26" customFormat="false" ht="15" hidden="false" customHeight="false" outlineLevel="0" collapsed="false">
      <c r="A26" s="0" t="n">
        <v>23</v>
      </c>
      <c r="B26" s="0" t="s">
        <v>28</v>
      </c>
      <c r="C26" s="5" t="n">
        <v>46059</v>
      </c>
      <c r="D26" s="3" t="s">
        <v>190</v>
      </c>
      <c r="E26" s="3" t="s">
        <v>30</v>
      </c>
      <c r="F26" s="3" t="s">
        <v>31</v>
      </c>
      <c r="G26" s="3" t="s">
        <v>58</v>
      </c>
      <c r="H26" s="0" t="n">
        <v>176</v>
      </c>
      <c r="I26" s="0" t="n">
        <v>2678.09</v>
      </c>
      <c r="J26" s="0" t="n">
        <v>2946.33</v>
      </c>
      <c r="K26" s="0" t="n">
        <v>2946.33</v>
      </c>
      <c r="L26" s="3" t="s">
        <v>39</v>
      </c>
    </row>
    <row r="27" customFormat="false" ht="15" hidden="false" customHeight="false" outlineLevel="0" collapsed="false">
      <c r="A27" s="0" t="n">
        <v>24</v>
      </c>
      <c r="B27" s="0" t="s">
        <v>28</v>
      </c>
      <c r="C27" s="5" t="n">
        <v>46060</v>
      </c>
      <c r="D27" s="3" t="s">
        <v>196</v>
      </c>
      <c r="E27" s="3" t="s">
        <v>30</v>
      </c>
      <c r="F27" s="3" t="s">
        <v>31</v>
      </c>
      <c r="G27" s="3" t="s">
        <v>68</v>
      </c>
      <c r="H27" s="0" t="n">
        <v>35</v>
      </c>
      <c r="I27" s="0" t="n">
        <v>2445.15</v>
      </c>
      <c r="J27" s="0" t="n">
        <v>2445.3</v>
      </c>
      <c r="K27" s="0" t="n">
        <v>2445.3</v>
      </c>
      <c r="L27" s="3" t="s">
        <v>138</v>
      </c>
    </row>
    <row r="28" customFormat="false" ht="15" hidden="false" customHeight="false" outlineLevel="0" collapsed="false">
      <c r="A28" s="0" t="n">
        <v>25</v>
      </c>
      <c r="B28" s="0" t="s">
        <v>28</v>
      </c>
      <c r="C28" s="5" t="n">
        <v>46060</v>
      </c>
      <c r="D28" s="3" t="s">
        <v>202</v>
      </c>
      <c r="E28" s="3" t="s">
        <v>30</v>
      </c>
      <c r="F28" s="3" t="s">
        <v>31</v>
      </c>
      <c r="G28" s="3" t="s">
        <v>32</v>
      </c>
      <c r="H28" s="0" t="n">
        <v>182</v>
      </c>
      <c r="I28" s="0" t="n">
        <v>355.17</v>
      </c>
      <c r="J28" s="0" t="n">
        <v>355.43</v>
      </c>
      <c r="K28" s="0" t="n">
        <v>355.43</v>
      </c>
      <c r="L28" s="3" t="s">
        <v>39</v>
      </c>
    </row>
    <row r="29" customFormat="false" ht="15" hidden="false" customHeight="false" outlineLevel="0" collapsed="false">
      <c r="A29" s="0" t="n">
        <v>26</v>
      </c>
      <c r="B29" s="0" t="s">
        <v>28</v>
      </c>
      <c r="C29" s="5" t="n">
        <v>46060</v>
      </c>
      <c r="D29" s="3" t="s">
        <v>209</v>
      </c>
      <c r="E29" s="3" t="s">
        <v>30</v>
      </c>
      <c r="F29" s="3" t="s">
        <v>31</v>
      </c>
      <c r="G29" s="3" t="s">
        <v>41</v>
      </c>
      <c r="H29" s="0" t="n">
        <v>183</v>
      </c>
      <c r="I29" s="0" t="n">
        <v>857.59</v>
      </c>
      <c r="J29" s="0" t="n">
        <v>857.74</v>
      </c>
      <c r="K29" s="0" t="n">
        <v>857.74</v>
      </c>
      <c r="L29" s="3" t="s">
        <v>138</v>
      </c>
    </row>
    <row r="30" customFormat="false" ht="15" hidden="false" customHeight="false" outlineLevel="0" collapsed="false">
      <c r="A30" s="0" t="n">
        <v>27</v>
      </c>
      <c r="B30" s="0" t="s">
        <v>28</v>
      </c>
      <c r="C30" s="5" t="n">
        <v>46060</v>
      </c>
      <c r="D30" s="3" t="s">
        <v>214</v>
      </c>
      <c r="E30" s="3" t="s">
        <v>67</v>
      </c>
      <c r="F30" s="3" t="s">
        <v>31</v>
      </c>
      <c r="G30" s="3" t="s">
        <v>41</v>
      </c>
      <c r="H30" s="0" t="n">
        <v>147</v>
      </c>
      <c r="I30" s="0" t="n">
        <v>147.57</v>
      </c>
      <c r="J30" s="0" t="n">
        <v>147.67</v>
      </c>
      <c r="K30" s="0" t="n">
        <v>147.67</v>
      </c>
      <c r="L30" s="3" t="s">
        <v>138</v>
      </c>
    </row>
    <row r="31" customFormat="false" ht="15" hidden="false" customHeight="false" outlineLevel="0" collapsed="false">
      <c r="A31" s="0" t="n">
        <v>28</v>
      </c>
      <c r="B31" s="0" t="s">
        <v>48</v>
      </c>
      <c r="C31" s="5" t="n">
        <v>46060</v>
      </c>
      <c r="D31" s="3" t="s">
        <v>220</v>
      </c>
      <c r="E31" s="3" t="s">
        <v>30</v>
      </c>
      <c r="F31" s="3" t="s">
        <v>31</v>
      </c>
      <c r="G31" s="3" t="s">
        <v>140</v>
      </c>
      <c r="H31" s="0" t="n">
        <v>220</v>
      </c>
      <c r="I31" s="0" t="n">
        <v>347.17</v>
      </c>
      <c r="J31" s="0" t="n">
        <v>382.1</v>
      </c>
      <c r="K31" s="0" t="n">
        <v>382.1</v>
      </c>
      <c r="L31" s="3" t="s">
        <v>74</v>
      </c>
    </row>
    <row r="32" customFormat="false" ht="15" hidden="false" customHeight="false" outlineLevel="0" collapsed="false">
      <c r="A32" s="0" t="n">
        <v>29</v>
      </c>
      <c r="B32" s="0" t="s">
        <v>48</v>
      </c>
      <c r="C32" s="5" t="n">
        <v>46060</v>
      </c>
      <c r="D32" s="3" t="s">
        <v>226</v>
      </c>
      <c r="E32" s="3" t="s">
        <v>30</v>
      </c>
      <c r="F32" s="3" t="s">
        <v>31</v>
      </c>
      <c r="G32" s="3" t="s">
        <v>50</v>
      </c>
      <c r="H32" s="0" t="n">
        <v>100</v>
      </c>
      <c r="I32" s="0" t="n">
        <v>2419.2</v>
      </c>
      <c r="J32" s="0" t="n">
        <v>2419.36</v>
      </c>
      <c r="K32" s="0" t="n">
        <v>2419.36</v>
      </c>
      <c r="L32" s="3" t="s">
        <v>39</v>
      </c>
    </row>
    <row r="33" customFormat="false" ht="15" hidden="false" customHeight="false" outlineLevel="0" collapsed="false">
      <c r="A33" s="0" t="n">
        <v>30</v>
      </c>
      <c r="B33" s="0" t="s">
        <v>28</v>
      </c>
      <c r="C33" s="5" t="n">
        <v>46061</v>
      </c>
      <c r="D33" s="3" t="s">
        <v>232</v>
      </c>
      <c r="E33" s="3" t="s">
        <v>30</v>
      </c>
      <c r="F33" s="3" t="s">
        <v>31</v>
      </c>
      <c r="G33" s="3" t="s">
        <v>32</v>
      </c>
      <c r="H33" s="0" t="n">
        <v>182</v>
      </c>
      <c r="I33" s="0" t="n">
        <v>2633.95</v>
      </c>
      <c r="J33" s="0" t="n">
        <v>3424.41</v>
      </c>
      <c r="K33" s="0" t="n">
        <v>3424.41</v>
      </c>
      <c r="L33" s="3" t="s">
        <v>138</v>
      </c>
    </row>
    <row r="34" customFormat="false" ht="15" hidden="false" customHeight="false" outlineLevel="0" collapsed="false">
      <c r="A34" s="0" t="n">
        <v>31</v>
      </c>
      <c r="B34" s="0" t="s">
        <v>28</v>
      </c>
      <c r="C34" s="5" t="n">
        <v>46061</v>
      </c>
      <c r="D34" s="3" t="s">
        <v>237</v>
      </c>
      <c r="E34" s="3" t="s">
        <v>30</v>
      </c>
      <c r="F34" s="3" t="s">
        <v>31</v>
      </c>
      <c r="G34" s="3" t="s">
        <v>106</v>
      </c>
      <c r="H34" s="0" t="n">
        <v>161</v>
      </c>
      <c r="I34" s="0" t="n">
        <v>1508.05</v>
      </c>
      <c r="J34" s="0" t="n">
        <v>1508.15</v>
      </c>
      <c r="K34" s="0" t="n">
        <v>1508.15</v>
      </c>
      <c r="L34" s="3" t="s">
        <v>243</v>
      </c>
    </row>
    <row r="35" customFormat="false" ht="15" hidden="false" customHeight="false" outlineLevel="0" collapsed="false">
      <c r="A35" s="0" t="n">
        <v>32</v>
      </c>
      <c r="B35" s="0" t="s">
        <v>28</v>
      </c>
      <c r="C35" s="5" t="n">
        <v>46061</v>
      </c>
      <c r="D35" s="3" t="s">
        <v>244</v>
      </c>
      <c r="E35" s="3" t="s">
        <v>30</v>
      </c>
      <c r="F35" s="3" t="s">
        <v>31</v>
      </c>
      <c r="G35" s="3" t="s">
        <v>68</v>
      </c>
      <c r="H35" s="0" t="n">
        <v>92</v>
      </c>
      <c r="I35" s="0" t="n">
        <v>2567.09</v>
      </c>
      <c r="J35" s="0" t="n">
        <v>2823.94</v>
      </c>
      <c r="K35" s="0" t="n">
        <v>2823.94</v>
      </c>
      <c r="L35" s="3" t="s">
        <v>39</v>
      </c>
    </row>
    <row r="36" customFormat="false" ht="15" hidden="false" customHeight="false" outlineLevel="0" collapsed="false">
      <c r="A36" s="0" t="n">
        <v>33</v>
      </c>
      <c r="B36" s="0" t="s">
        <v>28</v>
      </c>
      <c r="C36" s="5" t="n">
        <v>46061</v>
      </c>
      <c r="D36" s="3" t="s">
        <v>250</v>
      </c>
      <c r="E36" s="3" t="s">
        <v>30</v>
      </c>
      <c r="F36" s="3" t="s">
        <v>31</v>
      </c>
      <c r="G36" s="3" t="s">
        <v>32</v>
      </c>
      <c r="H36" s="0" t="n">
        <v>100</v>
      </c>
      <c r="I36" s="0" t="n">
        <v>2431.88</v>
      </c>
      <c r="J36" s="0" t="n">
        <v>2675.15</v>
      </c>
      <c r="K36" s="0" t="n">
        <v>2675.15</v>
      </c>
      <c r="L36" s="3" t="s">
        <v>39</v>
      </c>
    </row>
    <row r="37" customFormat="false" ht="15" hidden="false" customHeight="false" outlineLevel="0" collapsed="false">
      <c r="A37" s="0" t="n">
        <v>34</v>
      </c>
      <c r="B37" s="0" t="s">
        <v>28</v>
      </c>
      <c r="C37" s="5" t="n">
        <v>46061</v>
      </c>
      <c r="D37" s="3" t="s">
        <v>256</v>
      </c>
      <c r="E37" s="3" t="s">
        <v>67</v>
      </c>
      <c r="F37" s="3" t="s">
        <v>31</v>
      </c>
      <c r="G37" s="3" t="s">
        <v>106</v>
      </c>
      <c r="H37" s="0" t="n">
        <v>4</v>
      </c>
      <c r="I37" s="0" t="n">
        <v>2356.18</v>
      </c>
      <c r="J37" s="0" t="n">
        <v>2591.98</v>
      </c>
      <c r="K37" s="0" t="n">
        <v>2591.98</v>
      </c>
      <c r="L37" s="3" t="s">
        <v>65</v>
      </c>
    </row>
    <row r="38" customFormat="false" ht="15" hidden="false" customHeight="false" outlineLevel="0" collapsed="false">
      <c r="A38" s="0" t="n">
        <v>35</v>
      </c>
      <c r="B38" s="0" t="s">
        <v>28</v>
      </c>
      <c r="C38" s="5" t="n">
        <v>46061</v>
      </c>
      <c r="D38" s="3" t="s">
        <v>262</v>
      </c>
      <c r="E38" s="3" t="s">
        <v>30</v>
      </c>
      <c r="F38" s="3" t="s">
        <v>31</v>
      </c>
      <c r="G38" s="3" t="s">
        <v>68</v>
      </c>
      <c r="H38" s="0" t="n">
        <v>58</v>
      </c>
      <c r="I38" s="0" t="n">
        <v>559.01</v>
      </c>
      <c r="J38" s="0" t="n">
        <v>559.11</v>
      </c>
      <c r="K38" s="0" t="n">
        <v>559.11</v>
      </c>
      <c r="L38" s="3" t="s">
        <v>39</v>
      </c>
    </row>
    <row r="39" customFormat="false" ht="15" hidden="false" customHeight="false" outlineLevel="0" collapsed="false">
      <c r="A39" s="0" t="n">
        <v>36</v>
      </c>
      <c r="B39" s="0" t="s">
        <v>28</v>
      </c>
      <c r="C39" s="5" t="n">
        <v>46061</v>
      </c>
      <c r="D39" s="3" t="s">
        <v>267</v>
      </c>
      <c r="E39" s="3" t="s">
        <v>30</v>
      </c>
      <c r="F39" s="3" t="s">
        <v>31</v>
      </c>
      <c r="G39" s="3" t="s">
        <v>98</v>
      </c>
      <c r="H39" s="0" t="n">
        <v>53</v>
      </c>
      <c r="I39" s="0" t="n">
        <v>2376.75</v>
      </c>
      <c r="J39" s="0" t="n">
        <v>2614.53</v>
      </c>
      <c r="K39" s="0" t="n">
        <v>2614.53</v>
      </c>
      <c r="L39" s="3" t="s">
        <v>39</v>
      </c>
    </row>
    <row r="40" customFormat="false" ht="15" hidden="false" customHeight="false" outlineLevel="0" collapsed="false">
      <c r="A40" s="0" t="n">
        <v>37</v>
      </c>
      <c r="B40" s="0" t="s">
        <v>48</v>
      </c>
      <c r="C40" s="5" t="n">
        <v>46061</v>
      </c>
      <c r="D40" s="3" t="s">
        <v>273</v>
      </c>
      <c r="E40" s="3" t="s">
        <v>30</v>
      </c>
      <c r="F40" s="3" t="s">
        <v>31</v>
      </c>
      <c r="G40" s="3" t="s">
        <v>58</v>
      </c>
      <c r="H40" s="0" t="n">
        <v>177</v>
      </c>
      <c r="I40" s="0" t="n">
        <v>2820.53</v>
      </c>
      <c r="J40" s="0" t="n">
        <v>4231.04</v>
      </c>
      <c r="K40" s="0" t="n">
        <v>4231.04</v>
      </c>
      <c r="L40" s="3" t="s">
        <v>138</v>
      </c>
    </row>
    <row r="41" customFormat="false" ht="15" hidden="false" customHeight="false" outlineLevel="0" collapsed="false">
      <c r="A41" s="0" t="n">
        <v>38</v>
      </c>
      <c r="B41" s="0" t="s">
        <v>28</v>
      </c>
      <c r="C41" s="5" t="n">
        <v>46062</v>
      </c>
      <c r="D41" s="3" t="s">
        <v>278</v>
      </c>
      <c r="E41" s="3" t="s">
        <v>30</v>
      </c>
      <c r="F41" s="3" t="s">
        <v>31</v>
      </c>
      <c r="G41" s="3" t="s">
        <v>50</v>
      </c>
      <c r="H41" s="0" t="n">
        <v>212</v>
      </c>
      <c r="I41" s="0" t="n">
        <v>2740.06</v>
      </c>
      <c r="J41" s="0" t="n">
        <v>2740.51</v>
      </c>
      <c r="K41" s="0" t="n">
        <v>2740.51</v>
      </c>
      <c r="L41" s="3" t="s">
        <v>243</v>
      </c>
    </row>
    <row r="42" customFormat="false" ht="15" hidden="false" customHeight="false" outlineLevel="0" collapsed="false">
      <c r="A42" s="0" t="n">
        <v>39</v>
      </c>
      <c r="B42" s="0" t="s">
        <v>28</v>
      </c>
      <c r="C42" s="5" t="n">
        <v>46062</v>
      </c>
      <c r="D42" s="3" t="s">
        <v>284</v>
      </c>
      <c r="E42" s="3" t="s">
        <v>30</v>
      </c>
      <c r="F42" s="3" t="s">
        <v>31</v>
      </c>
      <c r="G42" s="3" t="s">
        <v>41</v>
      </c>
      <c r="H42" s="0" t="n">
        <v>194</v>
      </c>
      <c r="I42" s="0" t="n">
        <v>2425.96</v>
      </c>
      <c r="J42" s="0" t="n">
        <v>2426.08</v>
      </c>
      <c r="K42" s="0" t="n">
        <v>2426.08</v>
      </c>
      <c r="L42" s="3" t="s">
        <v>39</v>
      </c>
    </row>
    <row r="43" customFormat="false" ht="15" hidden="false" customHeight="false" outlineLevel="0" collapsed="false">
      <c r="A43" s="0" t="n">
        <v>40</v>
      </c>
      <c r="B43" s="0" t="s">
        <v>28</v>
      </c>
      <c r="C43" s="5" t="n">
        <v>46062</v>
      </c>
      <c r="D43" s="3" t="s">
        <v>290</v>
      </c>
      <c r="E43" s="3" t="s">
        <v>30</v>
      </c>
      <c r="F43" s="3" t="s">
        <v>31</v>
      </c>
      <c r="G43" s="3" t="s">
        <v>140</v>
      </c>
      <c r="H43" s="0" t="n">
        <v>150</v>
      </c>
      <c r="I43" s="0" t="n">
        <v>1354.16</v>
      </c>
      <c r="J43" s="0" t="n">
        <v>1354.35</v>
      </c>
      <c r="K43" s="0" t="n">
        <v>1354.35</v>
      </c>
      <c r="L43" s="3" t="s">
        <v>39</v>
      </c>
    </row>
    <row r="44" customFormat="false" ht="15" hidden="false" customHeight="false" outlineLevel="0" collapsed="false">
      <c r="A44" s="0" t="n">
        <v>41</v>
      </c>
      <c r="B44" s="0" t="s">
        <v>28</v>
      </c>
      <c r="C44" s="5" t="n">
        <v>46062</v>
      </c>
      <c r="D44" s="3" t="s">
        <v>296</v>
      </c>
      <c r="E44" s="3" t="s">
        <v>30</v>
      </c>
      <c r="F44" s="3" t="s">
        <v>31</v>
      </c>
      <c r="G44" s="3" t="s">
        <v>106</v>
      </c>
      <c r="H44" s="0" t="n">
        <v>33</v>
      </c>
      <c r="I44" s="0" t="n">
        <v>44.27</v>
      </c>
      <c r="J44" s="0" t="n">
        <v>44.51</v>
      </c>
      <c r="K44" s="0" t="n">
        <v>44.51</v>
      </c>
      <c r="L44" s="3" t="s">
        <v>65</v>
      </c>
    </row>
    <row r="45" customFormat="false" ht="15" hidden="false" customHeight="false" outlineLevel="0" collapsed="false">
      <c r="A45" s="0" t="n">
        <v>42</v>
      </c>
      <c r="B45" s="0" t="s">
        <v>48</v>
      </c>
      <c r="C45" s="5" t="n">
        <v>46062</v>
      </c>
      <c r="D45" s="3" t="s">
        <v>302</v>
      </c>
      <c r="E45" s="3" t="s">
        <v>67</v>
      </c>
      <c r="F45" s="3" t="s">
        <v>31</v>
      </c>
      <c r="G45" s="3" t="s">
        <v>76</v>
      </c>
      <c r="H45" s="0" t="n">
        <v>172</v>
      </c>
      <c r="I45" s="0" t="n">
        <v>1455.29</v>
      </c>
      <c r="J45" s="0" t="n">
        <v>1892.28</v>
      </c>
      <c r="K45" s="0" t="n">
        <v>1892.28</v>
      </c>
      <c r="L45" s="3" t="s">
        <v>39</v>
      </c>
    </row>
    <row r="46" customFormat="false" ht="15" hidden="false" customHeight="false" outlineLevel="0" collapsed="false">
      <c r="A46" s="0" t="n">
        <v>43</v>
      </c>
      <c r="B46" s="0" t="s">
        <v>28</v>
      </c>
      <c r="C46" s="5" t="n">
        <v>46063</v>
      </c>
      <c r="D46" s="3" t="s">
        <v>308</v>
      </c>
      <c r="E46" s="3" t="s">
        <v>67</v>
      </c>
      <c r="F46" s="3" t="s">
        <v>31</v>
      </c>
      <c r="G46" s="3" t="s">
        <v>41</v>
      </c>
      <c r="H46" s="0" t="n">
        <v>100</v>
      </c>
      <c r="I46" s="0" t="n">
        <v>2348.58</v>
      </c>
      <c r="J46" s="0" t="n">
        <v>2348.91</v>
      </c>
      <c r="K46" s="0" t="n">
        <v>2348.91</v>
      </c>
      <c r="L46" s="3" t="s">
        <v>39</v>
      </c>
    </row>
    <row r="47" customFormat="false" ht="15" hidden="false" customHeight="false" outlineLevel="0" collapsed="false">
      <c r="A47" s="0" t="n">
        <v>44</v>
      </c>
      <c r="B47" s="0" t="s">
        <v>28</v>
      </c>
      <c r="C47" s="5" t="n">
        <v>46063</v>
      </c>
      <c r="D47" s="3" t="s">
        <v>314</v>
      </c>
      <c r="E47" s="3" t="s">
        <v>30</v>
      </c>
      <c r="F47" s="3" t="s">
        <v>31</v>
      </c>
      <c r="G47" s="3" t="s">
        <v>50</v>
      </c>
      <c r="H47" s="0" t="n">
        <v>199</v>
      </c>
      <c r="I47" s="0" t="n">
        <v>2924.8</v>
      </c>
      <c r="J47" s="0" t="n">
        <v>3217.6</v>
      </c>
      <c r="K47" s="0" t="n">
        <v>3217.6</v>
      </c>
      <c r="L47" s="3" t="s">
        <v>39</v>
      </c>
    </row>
    <row r="48" customFormat="false" ht="15" hidden="false" customHeight="false" outlineLevel="0" collapsed="false">
      <c r="A48" s="0" t="n">
        <v>45</v>
      </c>
      <c r="B48" s="0" t="s">
        <v>28</v>
      </c>
      <c r="C48" s="5" t="n">
        <v>46064</v>
      </c>
      <c r="D48" s="3" t="s">
        <v>319</v>
      </c>
      <c r="E48" s="3" t="s">
        <v>30</v>
      </c>
      <c r="F48" s="3" t="s">
        <v>31</v>
      </c>
      <c r="G48" s="3" t="s">
        <v>76</v>
      </c>
      <c r="H48" s="0" t="n">
        <v>209</v>
      </c>
      <c r="I48" s="0" t="n">
        <v>2908.75</v>
      </c>
      <c r="J48" s="0" t="n">
        <v>2908.84</v>
      </c>
      <c r="K48" s="0" t="n">
        <v>2908.84</v>
      </c>
      <c r="L48" s="3" t="s">
        <v>74</v>
      </c>
    </row>
    <row r="49" customFormat="false" ht="15" hidden="false" customHeight="false" outlineLevel="0" collapsed="false">
      <c r="A49" s="0" t="n">
        <v>46</v>
      </c>
      <c r="B49" s="0" t="s">
        <v>28</v>
      </c>
      <c r="C49" s="5" t="n">
        <v>46064</v>
      </c>
      <c r="D49" s="3" t="s">
        <v>325</v>
      </c>
      <c r="E49" s="3" t="s">
        <v>67</v>
      </c>
      <c r="F49" s="3" t="s">
        <v>31</v>
      </c>
      <c r="G49" s="3" t="s">
        <v>41</v>
      </c>
      <c r="H49" s="0" t="n">
        <v>145</v>
      </c>
      <c r="I49" s="0" t="n">
        <v>2379.31</v>
      </c>
      <c r="J49" s="0" t="n">
        <v>2379.53</v>
      </c>
      <c r="K49" s="0" t="n">
        <v>2379.53</v>
      </c>
      <c r="L49" s="3" t="s">
        <v>39</v>
      </c>
    </row>
    <row r="50" customFormat="false" ht="15" hidden="false" customHeight="false" outlineLevel="0" collapsed="false">
      <c r="A50" s="0" t="n">
        <v>47</v>
      </c>
      <c r="B50" s="0" t="s">
        <v>28</v>
      </c>
      <c r="C50" s="5" t="n">
        <v>46064</v>
      </c>
      <c r="D50" s="3" t="s">
        <v>330</v>
      </c>
      <c r="E50" s="3" t="s">
        <v>30</v>
      </c>
      <c r="F50" s="3" t="s">
        <v>31</v>
      </c>
      <c r="G50" s="3" t="s">
        <v>41</v>
      </c>
      <c r="H50" s="0" t="n">
        <v>196</v>
      </c>
      <c r="I50" s="0" t="n">
        <v>2391.54</v>
      </c>
      <c r="J50" s="0" t="n">
        <v>3587.48</v>
      </c>
      <c r="K50" s="0" t="n">
        <v>3587.48</v>
      </c>
      <c r="L50" s="3" t="s">
        <v>39</v>
      </c>
    </row>
    <row r="51" customFormat="false" ht="15" hidden="false" customHeight="false" outlineLevel="0" collapsed="false">
      <c r="A51" s="0" t="n">
        <v>48</v>
      </c>
      <c r="B51" s="0" t="s">
        <v>48</v>
      </c>
      <c r="C51" s="5" t="n">
        <v>46064</v>
      </c>
      <c r="D51" s="3" t="s">
        <v>335</v>
      </c>
      <c r="E51" s="3" t="s">
        <v>30</v>
      </c>
      <c r="F51" s="3" t="s">
        <v>31</v>
      </c>
      <c r="G51" s="3" t="s">
        <v>98</v>
      </c>
      <c r="H51" s="0" t="n">
        <v>58</v>
      </c>
      <c r="I51" s="0" t="n">
        <v>2000.26</v>
      </c>
      <c r="J51" s="0" t="n">
        <v>3000.55</v>
      </c>
      <c r="K51" s="0" t="n">
        <v>3000.55</v>
      </c>
      <c r="L51" s="3" t="s">
        <v>39</v>
      </c>
    </row>
    <row r="52" customFormat="false" ht="15" hidden="false" customHeight="false" outlineLevel="0" collapsed="false">
      <c r="A52" s="0" t="n">
        <v>49</v>
      </c>
      <c r="B52" s="0" t="s">
        <v>28</v>
      </c>
      <c r="C52" s="5" t="n">
        <v>46065</v>
      </c>
      <c r="D52" s="3" t="s">
        <v>341</v>
      </c>
      <c r="E52" s="3" t="s">
        <v>30</v>
      </c>
      <c r="F52" s="3" t="s">
        <v>31</v>
      </c>
      <c r="G52" s="3" t="s">
        <v>140</v>
      </c>
      <c r="H52" s="0" t="n">
        <v>67</v>
      </c>
      <c r="I52" s="0" t="n">
        <v>1490.64</v>
      </c>
      <c r="J52" s="0" t="n">
        <v>1491.01</v>
      </c>
      <c r="K52" s="0" t="n">
        <v>1491.01</v>
      </c>
      <c r="L52" s="3" t="s">
        <v>89</v>
      </c>
    </row>
    <row r="53" customFormat="false" ht="15" hidden="false" customHeight="false" outlineLevel="0" collapsed="false">
      <c r="A53" s="0" t="n">
        <v>50</v>
      </c>
      <c r="B53" s="0" t="s">
        <v>28</v>
      </c>
      <c r="C53" s="5" t="n">
        <v>46065</v>
      </c>
      <c r="D53" s="3" t="s">
        <v>345</v>
      </c>
      <c r="E53" s="3" t="s">
        <v>30</v>
      </c>
      <c r="F53" s="3" t="s">
        <v>31</v>
      </c>
      <c r="G53" s="3" t="s">
        <v>32</v>
      </c>
      <c r="H53" s="0" t="n">
        <v>166</v>
      </c>
      <c r="I53" s="0" t="n">
        <v>3038.52</v>
      </c>
      <c r="J53" s="0" t="n">
        <v>3950.17</v>
      </c>
      <c r="K53" s="0" t="n">
        <v>3950.17</v>
      </c>
      <c r="L53" s="3" t="s">
        <v>89</v>
      </c>
    </row>
    <row r="54" customFormat="false" ht="15" hidden="false" customHeight="false" outlineLevel="0" collapsed="false">
      <c r="A54" s="0" t="n">
        <v>51</v>
      </c>
      <c r="B54" s="0" t="s">
        <v>28</v>
      </c>
      <c r="C54" s="5" t="n">
        <v>46065</v>
      </c>
      <c r="D54" s="3" t="s">
        <v>351</v>
      </c>
      <c r="E54" s="3" t="s">
        <v>30</v>
      </c>
      <c r="F54" s="3" t="s">
        <v>31</v>
      </c>
      <c r="G54" s="3" t="s">
        <v>68</v>
      </c>
      <c r="H54" s="0" t="n">
        <v>74</v>
      </c>
      <c r="I54" s="0" t="n">
        <v>2579.22</v>
      </c>
      <c r="J54" s="0" t="n">
        <v>3353.4</v>
      </c>
      <c r="K54" s="0" t="n">
        <v>3353.4</v>
      </c>
      <c r="L54" s="3" t="s">
        <v>39</v>
      </c>
    </row>
    <row r="55" customFormat="false" ht="15" hidden="false" customHeight="false" outlineLevel="0" collapsed="false">
      <c r="A55" s="0" t="n">
        <v>52</v>
      </c>
      <c r="B55" s="0" t="s">
        <v>48</v>
      </c>
      <c r="C55" s="5" t="n">
        <v>46065</v>
      </c>
      <c r="D55" s="3" t="s">
        <v>356</v>
      </c>
      <c r="E55" s="3" t="s">
        <v>30</v>
      </c>
      <c r="F55" s="3" t="s">
        <v>31</v>
      </c>
      <c r="G55" s="3" t="s">
        <v>50</v>
      </c>
      <c r="H55" s="0" t="n">
        <v>166</v>
      </c>
      <c r="I55" s="0" t="n">
        <v>1912.52</v>
      </c>
      <c r="J55" s="0" t="n">
        <v>1912.83</v>
      </c>
      <c r="K55" s="0" t="n">
        <v>1912.83</v>
      </c>
      <c r="L55" s="3" t="s">
        <v>39</v>
      </c>
    </row>
    <row r="56" customFormat="false" ht="15" hidden="false" customHeight="false" outlineLevel="0" collapsed="false">
      <c r="A56" s="0" t="n">
        <v>53</v>
      </c>
      <c r="B56" s="0" t="s">
        <v>48</v>
      </c>
      <c r="C56" s="5" t="n">
        <v>46065</v>
      </c>
      <c r="D56" s="3" t="s">
        <v>361</v>
      </c>
      <c r="E56" s="3" t="s">
        <v>30</v>
      </c>
      <c r="F56" s="3" t="s">
        <v>31</v>
      </c>
      <c r="G56" s="3" t="s">
        <v>140</v>
      </c>
      <c r="H56" s="0" t="n">
        <v>205</v>
      </c>
      <c r="I56" s="0" t="n">
        <v>826.69</v>
      </c>
      <c r="J56" s="0" t="n">
        <v>909.82</v>
      </c>
      <c r="K56" s="0" t="n">
        <v>909.82</v>
      </c>
      <c r="L56" s="3" t="s">
        <v>367</v>
      </c>
    </row>
    <row r="57" customFormat="false" ht="15" hidden="false" customHeight="false" outlineLevel="0" collapsed="false">
      <c r="A57" s="0" t="n">
        <v>54</v>
      </c>
      <c r="B57" s="0" t="s">
        <v>48</v>
      </c>
      <c r="C57" s="5" t="n">
        <v>46065</v>
      </c>
      <c r="D57" s="3" t="s">
        <v>368</v>
      </c>
      <c r="E57" s="3" t="s">
        <v>30</v>
      </c>
      <c r="F57" s="3" t="s">
        <v>31</v>
      </c>
      <c r="G57" s="3" t="s">
        <v>68</v>
      </c>
      <c r="H57" s="0" t="n">
        <v>181</v>
      </c>
      <c r="I57" s="0" t="n">
        <v>2486.39</v>
      </c>
      <c r="J57" s="0" t="n">
        <v>2486.57</v>
      </c>
      <c r="K57" s="0" t="n">
        <v>2486.57</v>
      </c>
      <c r="L57" s="3" t="s">
        <v>39</v>
      </c>
    </row>
    <row r="58" customFormat="false" ht="15" hidden="false" customHeight="false" outlineLevel="0" collapsed="false">
      <c r="A58" s="0" t="n">
        <v>55</v>
      </c>
      <c r="B58" s="0" t="s">
        <v>28</v>
      </c>
      <c r="C58" s="5" t="n">
        <v>46066</v>
      </c>
      <c r="D58" s="3" t="s">
        <v>373</v>
      </c>
      <c r="E58" s="3" t="s">
        <v>30</v>
      </c>
      <c r="F58" s="3" t="s">
        <v>31</v>
      </c>
      <c r="G58" s="3" t="s">
        <v>140</v>
      </c>
      <c r="H58" s="0" t="n">
        <v>149</v>
      </c>
      <c r="I58" s="0" t="n">
        <v>1265.92</v>
      </c>
      <c r="J58" s="0" t="n">
        <v>1645.91</v>
      </c>
      <c r="K58" s="0" t="n">
        <v>1645.91</v>
      </c>
      <c r="L58" s="3" t="s">
        <v>39</v>
      </c>
    </row>
    <row r="59" customFormat="false" ht="15" hidden="false" customHeight="false" outlineLevel="0" collapsed="false">
      <c r="A59" s="0" t="n">
        <v>56</v>
      </c>
      <c r="B59" s="0" t="s">
        <v>28</v>
      </c>
      <c r="C59" s="5" t="n">
        <v>46066</v>
      </c>
      <c r="D59" s="3" t="s">
        <v>377</v>
      </c>
      <c r="E59" s="3" t="s">
        <v>30</v>
      </c>
      <c r="F59" s="3" t="s">
        <v>31</v>
      </c>
      <c r="G59" s="3" t="s">
        <v>68</v>
      </c>
      <c r="H59" s="0" t="n">
        <v>128</v>
      </c>
      <c r="I59" s="0" t="n">
        <v>2030.45</v>
      </c>
      <c r="J59" s="0" t="n">
        <v>2640.06</v>
      </c>
      <c r="K59" s="0" t="n">
        <v>2640.06</v>
      </c>
      <c r="L59" s="3" t="s">
        <v>39</v>
      </c>
    </row>
    <row r="60" customFormat="false" ht="15" hidden="false" customHeight="false" outlineLevel="0" collapsed="false">
      <c r="A60" s="0" t="n">
        <v>57</v>
      </c>
      <c r="B60" s="0" t="s">
        <v>48</v>
      </c>
      <c r="C60" s="5" t="n">
        <v>46066</v>
      </c>
      <c r="D60" s="3" t="s">
        <v>383</v>
      </c>
      <c r="E60" s="3" t="s">
        <v>30</v>
      </c>
      <c r="F60" s="3" t="s">
        <v>31</v>
      </c>
      <c r="G60" s="3" t="s">
        <v>50</v>
      </c>
      <c r="H60" s="0" t="n">
        <v>99</v>
      </c>
      <c r="I60" s="0" t="n">
        <v>314.11</v>
      </c>
      <c r="J60" s="0" t="n">
        <v>345.9</v>
      </c>
      <c r="K60" s="0" t="n">
        <v>345.9</v>
      </c>
      <c r="L60" s="3" t="s">
        <v>39</v>
      </c>
    </row>
    <row r="61" customFormat="false" ht="15" hidden="false" customHeight="false" outlineLevel="0" collapsed="false">
      <c r="A61" s="0" t="n">
        <v>58</v>
      </c>
      <c r="B61" s="0" t="s">
        <v>48</v>
      </c>
      <c r="C61" s="5" t="n">
        <v>46066</v>
      </c>
      <c r="D61" s="3" t="s">
        <v>387</v>
      </c>
      <c r="E61" s="3" t="s">
        <v>30</v>
      </c>
      <c r="F61" s="3" t="s">
        <v>31</v>
      </c>
      <c r="G61" s="3" t="s">
        <v>58</v>
      </c>
      <c r="H61" s="0" t="n">
        <v>180</v>
      </c>
      <c r="I61" s="0" t="n">
        <v>212</v>
      </c>
      <c r="J61" s="0" t="n">
        <v>233.64</v>
      </c>
      <c r="K61" s="0" t="n">
        <v>233.64</v>
      </c>
      <c r="L61" s="3" t="s">
        <v>39</v>
      </c>
    </row>
    <row r="62" customFormat="false" ht="15" hidden="false" customHeight="false" outlineLevel="0" collapsed="false">
      <c r="A62" s="0" t="n">
        <v>59</v>
      </c>
      <c r="B62" s="0" t="s">
        <v>48</v>
      </c>
      <c r="C62" s="5" t="n">
        <v>46066</v>
      </c>
      <c r="D62" s="3" t="s">
        <v>393</v>
      </c>
      <c r="E62" s="3" t="s">
        <v>30</v>
      </c>
      <c r="F62" s="3" t="s">
        <v>31</v>
      </c>
      <c r="G62" s="3" t="s">
        <v>98</v>
      </c>
      <c r="H62" s="0" t="n">
        <v>1</v>
      </c>
      <c r="I62" s="0" t="n">
        <v>1105.31</v>
      </c>
      <c r="J62" s="0" t="n">
        <v>1105.47</v>
      </c>
      <c r="K62" s="0" t="n">
        <v>1105.47</v>
      </c>
      <c r="L62" s="3" t="s">
        <v>243</v>
      </c>
    </row>
    <row r="63" customFormat="false" ht="15" hidden="false" customHeight="false" outlineLevel="0" collapsed="false">
      <c r="A63" s="0" t="n">
        <v>60</v>
      </c>
      <c r="B63" s="0" t="s">
        <v>28</v>
      </c>
      <c r="C63" s="5" t="n">
        <v>46067</v>
      </c>
      <c r="D63" s="3" t="s">
        <v>399</v>
      </c>
      <c r="E63" s="3" t="s">
        <v>30</v>
      </c>
      <c r="F63" s="3" t="s">
        <v>31</v>
      </c>
      <c r="G63" s="3" t="s">
        <v>32</v>
      </c>
      <c r="H63" s="0" t="n">
        <v>44</v>
      </c>
      <c r="I63" s="0" t="n">
        <v>2659.8</v>
      </c>
      <c r="J63" s="0" t="n">
        <v>2660.13</v>
      </c>
      <c r="K63" s="0" t="n">
        <v>2660.13</v>
      </c>
      <c r="L63" s="3" t="s">
        <v>39</v>
      </c>
    </row>
    <row r="64" customFormat="false" ht="15" hidden="false" customHeight="false" outlineLevel="0" collapsed="false">
      <c r="A64" s="0" t="n">
        <v>61</v>
      </c>
      <c r="B64" s="0" t="s">
        <v>28</v>
      </c>
      <c r="C64" s="5" t="n">
        <v>46067</v>
      </c>
      <c r="D64" s="3" t="s">
        <v>405</v>
      </c>
      <c r="E64" s="3" t="s">
        <v>30</v>
      </c>
      <c r="F64" s="3" t="s">
        <v>31</v>
      </c>
      <c r="G64" s="3" t="s">
        <v>58</v>
      </c>
      <c r="H64" s="0" t="n">
        <v>132</v>
      </c>
      <c r="I64" s="0" t="n">
        <v>1265.29</v>
      </c>
      <c r="J64" s="0" t="n">
        <v>1898.23</v>
      </c>
      <c r="K64" s="0" t="n">
        <v>1898.23</v>
      </c>
      <c r="L64" s="3" t="s">
        <v>367</v>
      </c>
    </row>
    <row r="65" customFormat="false" ht="15" hidden="false" customHeight="false" outlineLevel="0" collapsed="false">
      <c r="A65" s="0" t="n">
        <v>62</v>
      </c>
      <c r="B65" s="0" t="s">
        <v>48</v>
      </c>
      <c r="C65" s="5" t="n">
        <v>46067</v>
      </c>
      <c r="D65" s="3" t="s">
        <v>411</v>
      </c>
      <c r="E65" s="3" t="s">
        <v>30</v>
      </c>
      <c r="F65" s="3" t="s">
        <v>31</v>
      </c>
      <c r="G65" s="3" t="s">
        <v>32</v>
      </c>
      <c r="H65" s="0" t="n">
        <v>197</v>
      </c>
      <c r="I65" s="0" t="n">
        <v>2181.5</v>
      </c>
      <c r="J65" s="0" t="n">
        <v>3272.71</v>
      </c>
      <c r="K65" s="0" t="n">
        <v>3272.71</v>
      </c>
      <c r="L65" s="3" t="s">
        <v>39</v>
      </c>
    </row>
    <row r="66" customFormat="false" ht="15" hidden="false" customHeight="false" outlineLevel="0" collapsed="false">
      <c r="A66" s="0" t="n">
        <v>63</v>
      </c>
      <c r="B66" s="0" t="s">
        <v>48</v>
      </c>
      <c r="C66" s="5" t="n">
        <v>46067</v>
      </c>
      <c r="D66" s="3" t="s">
        <v>417</v>
      </c>
      <c r="E66" s="3" t="s">
        <v>30</v>
      </c>
      <c r="F66" s="3" t="s">
        <v>31</v>
      </c>
      <c r="G66" s="3" t="s">
        <v>98</v>
      </c>
      <c r="H66" s="0" t="n">
        <v>121</v>
      </c>
      <c r="I66" s="0" t="n">
        <v>1648.81</v>
      </c>
      <c r="J66" s="0" t="n">
        <v>1648.87</v>
      </c>
      <c r="K66" s="0" t="n">
        <v>1648.87</v>
      </c>
      <c r="L66" s="3" t="s">
        <v>39</v>
      </c>
    </row>
    <row r="67" customFormat="false" ht="15" hidden="false" customHeight="false" outlineLevel="0" collapsed="false">
      <c r="A67" s="0" t="n">
        <v>64</v>
      </c>
      <c r="B67" s="0" t="s">
        <v>48</v>
      </c>
      <c r="C67" s="5" t="n">
        <v>46067</v>
      </c>
      <c r="D67" s="3" t="s">
        <v>422</v>
      </c>
      <c r="E67" s="3" t="s">
        <v>30</v>
      </c>
      <c r="F67" s="3" t="s">
        <v>31</v>
      </c>
      <c r="G67" s="3" t="s">
        <v>50</v>
      </c>
      <c r="H67" s="0" t="n">
        <v>184</v>
      </c>
      <c r="I67" s="0" t="n">
        <v>1954.92</v>
      </c>
      <c r="J67" s="0" t="n">
        <v>1955.27</v>
      </c>
      <c r="K67" s="0" t="n">
        <v>1955.27</v>
      </c>
      <c r="L67" s="3" t="s">
        <v>39</v>
      </c>
    </row>
    <row r="68" customFormat="false" ht="15" hidden="false" customHeight="false" outlineLevel="0" collapsed="false">
      <c r="A68" s="0" t="n">
        <v>65</v>
      </c>
      <c r="B68" s="0" t="s">
        <v>48</v>
      </c>
      <c r="C68" s="5" t="n">
        <v>46067</v>
      </c>
      <c r="D68" s="3" t="s">
        <v>427</v>
      </c>
      <c r="E68" s="3" t="s">
        <v>30</v>
      </c>
      <c r="F68" s="3" t="s">
        <v>31</v>
      </c>
      <c r="G68" s="3" t="s">
        <v>41</v>
      </c>
      <c r="H68" s="0" t="n">
        <v>18</v>
      </c>
      <c r="I68" s="0" t="n">
        <v>769.72</v>
      </c>
      <c r="J68" s="0" t="n">
        <v>770.03</v>
      </c>
      <c r="K68" s="0" t="n">
        <v>770.03</v>
      </c>
      <c r="L68" s="3" t="s">
        <v>39</v>
      </c>
    </row>
    <row r="69" customFormat="false" ht="15" hidden="false" customHeight="false" outlineLevel="0" collapsed="false">
      <c r="A69" s="0" t="n">
        <v>66</v>
      </c>
      <c r="B69" s="0" t="s">
        <v>28</v>
      </c>
      <c r="C69" s="5" t="n">
        <v>46068</v>
      </c>
      <c r="D69" s="3" t="s">
        <v>433</v>
      </c>
      <c r="E69" s="3" t="s">
        <v>30</v>
      </c>
      <c r="F69" s="3" t="s">
        <v>31</v>
      </c>
      <c r="G69" s="3" t="s">
        <v>68</v>
      </c>
      <c r="H69" s="0" t="n">
        <v>42</v>
      </c>
      <c r="I69" s="0" t="n">
        <v>2961.45</v>
      </c>
      <c r="J69" s="0" t="n">
        <v>3257.94</v>
      </c>
      <c r="K69" s="0" t="n">
        <v>3257.94</v>
      </c>
      <c r="L69" s="3" t="s">
        <v>39</v>
      </c>
    </row>
    <row r="70" customFormat="false" ht="15" hidden="false" customHeight="false" outlineLevel="0" collapsed="false">
      <c r="A70" s="0" t="n">
        <v>67</v>
      </c>
      <c r="B70" s="0" t="s">
        <v>28</v>
      </c>
      <c r="C70" s="5" t="n">
        <v>46068</v>
      </c>
      <c r="D70" s="3" t="s">
        <v>440</v>
      </c>
      <c r="E70" s="3" t="s">
        <v>30</v>
      </c>
      <c r="F70" s="3" t="s">
        <v>31</v>
      </c>
      <c r="G70" s="3" t="s">
        <v>106</v>
      </c>
      <c r="H70" s="0" t="n">
        <v>193</v>
      </c>
      <c r="I70" s="0" t="n">
        <v>710.33</v>
      </c>
      <c r="J70" s="0" t="n">
        <v>710.49</v>
      </c>
      <c r="K70" s="0" t="n">
        <v>710.49</v>
      </c>
      <c r="L70" s="3" t="s">
        <v>39</v>
      </c>
    </row>
    <row r="71" customFormat="false" ht="15" hidden="false" customHeight="false" outlineLevel="0" collapsed="false">
      <c r="A71" s="0" t="n">
        <v>68</v>
      </c>
      <c r="B71" s="0" t="s">
        <v>48</v>
      </c>
      <c r="C71" s="5" t="n">
        <v>46068</v>
      </c>
      <c r="D71" s="3" t="s">
        <v>445</v>
      </c>
      <c r="E71" s="3" t="s">
        <v>30</v>
      </c>
      <c r="F71" s="3" t="s">
        <v>31</v>
      </c>
      <c r="G71" s="3" t="s">
        <v>50</v>
      </c>
      <c r="H71" s="0" t="n">
        <v>212</v>
      </c>
      <c r="I71" s="0" t="n">
        <v>1703.11</v>
      </c>
      <c r="J71" s="0" t="n">
        <v>1703.34</v>
      </c>
      <c r="K71" s="0" t="n">
        <v>1703.34</v>
      </c>
      <c r="L71" s="3" t="s">
        <v>39</v>
      </c>
    </row>
    <row r="72" customFormat="false" ht="15" hidden="false" customHeight="false" outlineLevel="0" collapsed="false">
      <c r="A72" s="0" t="n">
        <v>69</v>
      </c>
      <c r="B72" s="0" t="s">
        <v>48</v>
      </c>
      <c r="C72" s="5" t="n">
        <v>46068</v>
      </c>
      <c r="D72" s="3" t="s">
        <v>450</v>
      </c>
      <c r="E72" s="3" t="s">
        <v>30</v>
      </c>
      <c r="F72" s="3" t="s">
        <v>31</v>
      </c>
      <c r="G72" s="3" t="s">
        <v>32</v>
      </c>
      <c r="H72" s="0" t="n">
        <v>76</v>
      </c>
      <c r="I72" s="0" t="n">
        <v>978.56</v>
      </c>
      <c r="J72" s="0" t="n">
        <v>978.59</v>
      </c>
      <c r="K72" s="0" t="n">
        <v>978.59</v>
      </c>
      <c r="L72" s="3" t="s">
        <v>39</v>
      </c>
    </row>
    <row r="73" customFormat="false" ht="15" hidden="false" customHeight="false" outlineLevel="0" collapsed="false">
      <c r="A73" s="0" t="n">
        <v>70</v>
      </c>
      <c r="B73" s="0" t="s">
        <v>48</v>
      </c>
      <c r="C73" s="5" t="n">
        <v>46068</v>
      </c>
      <c r="D73" s="3" t="s">
        <v>454</v>
      </c>
      <c r="E73" s="3" t="s">
        <v>30</v>
      </c>
      <c r="F73" s="3" t="s">
        <v>31</v>
      </c>
      <c r="G73" s="3" t="s">
        <v>58</v>
      </c>
      <c r="H73" s="0" t="n">
        <v>155</v>
      </c>
      <c r="I73" s="0" t="n">
        <v>1921.53</v>
      </c>
      <c r="J73" s="0" t="n">
        <v>2882.63</v>
      </c>
      <c r="K73" s="0" t="n">
        <v>2882.63</v>
      </c>
      <c r="L73" s="3" t="s">
        <v>243</v>
      </c>
    </row>
    <row r="74" customFormat="false" ht="15" hidden="false" customHeight="false" outlineLevel="0" collapsed="false">
      <c r="A74" s="0" t="n">
        <v>71</v>
      </c>
      <c r="B74" s="0" t="s">
        <v>48</v>
      </c>
      <c r="C74" s="5" t="n">
        <v>46068</v>
      </c>
      <c r="D74" s="3" t="s">
        <v>460</v>
      </c>
      <c r="E74" s="3" t="s">
        <v>30</v>
      </c>
      <c r="F74" s="3" t="s">
        <v>31</v>
      </c>
      <c r="G74" s="3" t="s">
        <v>58</v>
      </c>
      <c r="H74" s="0" t="n">
        <v>195</v>
      </c>
      <c r="I74" s="0" t="n">
        <v>1908.13</v>
      </c>
      <c r="J74" s="0" t="n">
        <v>1908.19</v>
      </c>
      <c r="K74" s="0" t="n">
        <v>1908.19</v>
      </c>
      <c r="L74" s="3" t="s">
        <v>39</v>
      </c>
    </row>
    <row r="75" customFormat="false" ht="15" hidden="false" customHeight="false" outlineLevel="0" collapsed="false">
      <c r="A75" s="0" t="n">
        <v>72</v>
      </c>
      <c r="B75" s="0" t="s">
        <v>48</v>
      </c>
      <c r="C75" s="5" t="n">
        <v>46068</v>
      </c>
      <c r="D75" s="3" t="s">
        <v>465</v>
      </c>
      <c r="E75" s="3" t="s">
        <v>30</v>
      </c>
      <c r="F75" s="3" t="s">
        <v>31</v>
      </c>
      <c r="G75" s="3" t="s">
        <v>106</v>
      </c>
      <c r="H75" s="0" t="n">
        <v>124</v>
      </c>
      <c r="I75" s="0" t="n">
        <v>772.34</v>
      </c>
      <c r="J75" s="0" t="n">
        <v>1004.33</v>
      </c>
      <c r="K75" s="0" t="n">
        <v>1004.33</v>
      </c>
      <c r="L75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488</v>
      </c>
    </row>
    <row r="2" customFormat="false" ht="15" hidden="false" customHeight="false" outlineLevel="0" collapsed="false">
      <c r="B2" s="0" t="s">
        <v>489</v>
      </c>
      <c r="C2" s="0" t="s">
        <v>484</v>
      </c>
    </row>
    <row r="3" customFormat="false" ht="23.85" hidden="false" customHeight="false" outlineLevel="0" collapsed="false">
      <c r="A3" s="1" t="s">
        <v>476</v>
      </c>
      <c r="B3" s="1" t="s">
        <v>490</v>
      </c>
      <c r="C3" s="1" t="s">
        <v>491</v>
      </c>
      <c r="D3" s="1" t="s">
        <v>492</v>
      </c>
      <c r="E3" s="1" t="s">
        <v>493</v>
      </c>
      <c r="F3" s="1" t="s">
        <v>494</v>
      </c>
      <c r="G3" s="1" t="s">
        <v>495</v>
      </c>
      <c r="H3" s="1" t="s">
        <v>7</v>
      </c>
      <c r="I3" s="1" t="s">
        <v>496</v>
      </c>
      <c r="J3" s="1" t="s">
        <v>497</v>
      </c>
      <c r="K3" s="1" t="s">
        <v>498</v>
      </c>
      <c r="L3" s="1" t="s">
        <v>499</v>
      </c>
    </row>
    <row r="4" customFormat="false" ht="15" hidden="false" customHeight="false" outlineLevel="0" collapsed="false">
      <c r="A4" s="0" t="n">
        <v>1</v>
      </c>
      <c r="B4" s="0" t="s">
        <v>28</v>
      </c>
      <c r="C4" s="5" t="n">
        <v>46054</v>
      </c>
      <c r="D4" s="3" t="s">
        <v>29</v>
      </c>
      <c r="E4" s="3" t="s">
        <v>30</v>
      </c>
      <c r="F4" s="3" t="s">
        <v>31</v>
      </c>
      <c r="G4" s="3" t="s">
        <v>32</v>
      </c>
      <c r="H4" s="0" t="n">
        <v>131</v>
      </c>
      <c r="I4" s="0" t="n">
        <v>632.55</v>
      </c>
      <c r="J4" s="0" t="n">
        <v>632.99</v>
      </c>
      <c r="K4" s="0" t="n">
        <v>632.99</v>
      </c>
      <c r="L4" s="3" t="s">
        <v>39</v>
      </c>
    </row>
    <row r="5" customFormat="false" ht="15" hidden="false" customHeight="false" outlineLevel="0" collapsed="false">
      <c r="A5" s="0" t="n">
        <v>2</v>
      </c>
      <c r="B5" s="0" t="s">
        <v>28</v>
      </c>
      <c r="C5" s="5" t="n">
        <v>46054</v>
      </c>
      <c r="D5" s="3" t="s">
        <v>40</v>
      </c>
      <c r="E5" s="3" t="s">
        <v>30</v>
      </c>
      <c r="F5" s="3" t="s">
        <v>31</v>
      </c>
      <c r="G5" s="3" t="s">
        <v>41</v>
      </c>
      <c r="H5" s="0" t="n">
        <v>44</v>
      </c>
      <c r="I5" s="0" t="n">
        <v>3043.96</v>
      </c>
      <c r="J5" s="0" t="n">
        <v>4566.3</v>
      </c>
      <c r="K5" s="0" t="n">
        <v>4566.3</v>
      </c>
      <c r="L5" s="3" t="s">
        <v>39</v>
      </c>
    </row>
    <row r="6" customFormat="false" ht="15" hidden="false" customHeight="false" outlineLevel="0" collapsed="false">
      <c r="A6" s="0" t="n">
        <v>3</v>
      </c>
      <c r="B6" s="0" t="s">
        <v>48</v>
      </c>
      <c r="C6" s="5" t="n">
        <v>46054</v>
      </c>
      <c r="D6" s="3" t="s">
        <v>49</v>
      </c>
      <c r="E6" s="3" t="s">
        <v>30</v>
      </c>
      <c r="F6" s="3" t="s">
        <v>31</v>
      </c>
      <c r="G6" s="3" t="s">
        <v>50</v>
      </c>
      <c r="H6" s="0" t="n">
        <v>10</v>
      </c>
      <c r="I6" s="0" t="n">
        <v>2947.21</v>
      </c>
      <c r="J6" s="0" t="n">
        <v>2947.58</v>
      </c>
      <c r="K6" s="0" t="n">
        <v>2947.58</v>
      </c>
      <c r="L6" s="3" t="s">
        <v>39</v>
      </c>
    </row>
    <row r="7" customFormat="false" ht="15" hidden="false" customHeight="false" outlineLevel="0" collapsed="false">
      <c r="A7" s="0" t="n">
        <v>4</v>
      </c>
      <c r="B7" s="0" t="s">
        <v>48</v>
      </c>
      <c r="C7" s="5" t="n">
        <v>46054</v>
      </c>
      <c r="D7" s="3" t="s">
        <v>57</v>
      </c>
      <c r="E7" s="3" t="s">
        <v>30</v>
      </c>
      <c r="F7" s="3" t="s">
        <v>31</v>
      </c>
      <c r="G7" s="3" t="s">
        <v>58</v>
      </c>
      <c r="H7" s="0" t="n">
        <v>120</v>
      </c>
      <c r="I7" s="0" t="n">
        <v>2000.34</v>
      </c>
      <c r="J7" s="0" t="n">
        <v>2000.81</v>
      </c>
      <c r="K7" s="0" t="n">
        <v>2000.81</v>
      </c>
      <c r="L7" s="3" t="s">
        <v>65</v>
      </c>
    </row>
    <row r="8" customFormat="false" ht="15" hidden="false" customHeight="false" outlineLevel="0" collapsed="false">
      <c r="A8" s="0" t="n">
        <v>5</v>
      </c>
      <c r="B8" s="0" t="s">
        <v>28</v>
      </c>
      <c r="C8" s="5" t="n">
        <v>46055</v>
      </c>
      <c r="D8" s="3" t="s">
        <v>66</v>
      </c>
      <c r="E8" s="3" t="s">
        <v>67</v>
      </c>
      <c r="F8" s="3" t="s">
        <v>31</v>
      </c>
      <c r="G8" s="3" t="s">
        <v>68</v>
      </c>
      <c r="H8" s="0" t="n">
        <v>85</v>
      </c>
      <c r="I8" s="0" t="n">
        <v>748.65</v>
      </c>
      <c r="J8" s="0" t="n">
        <v>973.36</v>
      </c>
      <c r="K8" s="0" t="n">
        <v>973.36</v>
      </c>
      <c r="L8" s="3" t="s">
        <v>74</v>
      </c>
    </row>
    <row r="9" customFormat="false" ht="15" hidden="false" customHeight="false" outlineLevel="0" collapsed="false">
      <c r="A9" s="0" t="n">
        <v>6</v>
      </c>
      <c r="B9" s="0" t="s">
        <v>28</v>
      </c>
      <c r="C9" s="5" t="n">
        <v>46055</v>
      </c>
      <c r="D9" s="3" t="s">
        <v>75</v>
      </c>
      <c r="E9" s="3" t="s">
        <v>30</v>
      </c>
      <c r="F9" s="3" t="s">
        <v>31</v>
      </c>
      <c r="G9" s="3" t="s">
        <v>76</v>
      </c>
      <c r="H9" s="0" t="n">
        <v>148</v>
      </c>
      <c r="I9" s="0" t="n">
        <v>905.48</v>
      </c>
      <c r="J9" s="0" t="n">
        <v>905.77</v>
      </c>
      <c r="K9" s="0" t="n">
        <v>905.77</v>
      </c>
      <c r="L9" s="3" t="s">
        <v>39</v>
      </c>
    </row>
    <row r="10" customFormat="false" ht="15" hidden="false" customHeight="false" outlineLevel="0" collapsed="false">
      <c r="A10" s="0" t="n">
        <v>7</v>
      </c>
      <c r="B10" s="0" t="s">
        <v>48</v>
      </c>
      <c r="C10" s="5" t="n">
        <v>46055</v>
      </c>
      <c r="D10" s="3" t="s">
        <v>82</v>
      </c>
      <c r="E10" s="3" t="s">
        <v>30</v>
      </c>
      <c r="F10" s="3" t="s">
        <v>31</v>
      </c>
      <c r="G10" s="3" t="s">
        <v>68</v>
      </c>
      <c r="H10" s="0" t="n">
        <v>186</v>
      </c>
      <c r="I10" s="0" t="n">
        <v>1472.3</v>
      </c>
      <c r="J10" s="0" t="n">
        <v>1914.14</v>
      </c>
      <c r="K10" s="0" t="n">
        <v>1914.14</v>
      </c>
      <c r="L10" s="3" t="s">
        <v>89</v>
      </c>
    </row>
    <row r="11" customFormat="false" ht="15" hidden="false" customHeight="false" outlineLevel="0" collapsed="false">
      <c r="A11" s="0" t="n">
        <v>8</v>
      </c>
      <c r="B11" s="0" t="s">
        <v>48</v>
      </c>
      <c r="C11" s="5" t="n">
        <v>46055</v>
      </c>
      <c r="D11" s="3" t="s">
        <v>90</v>
      </c>
      <c r="E11" s="3" t="s">
        <v>30</v>
      </c>
      <c r="F11" s="3" t="s">
        <v>31</v>
      </c>
      <c r="G11" s="3" t="s">
        <v>58</v>
      </c>
      <c r="H11" s="0" t="n">
        <v>81</v>
      </c>
      <c r="I11" s="0" t="n">
        <v>1416.57</v>
      </c>
      <c r="J11" s="0" t="n">
        <v>1841.82</v>
      </c>
      <c r="K11" s="0" t="n">
        <v>1841.82</v>
      </c>
      <c r="L11" s="3" t="s">
        <v>89</v>
      </c>
    </row>
    <row r="12" customFormat="false" ht="15" hidden="false" customHeight="false" outlineLevel="0" collapsed="false">
      <c r="A12" s="0" t="n">
        <v>9</v>
      </c>
      <c r="B12" s="0" t="s">
        <v>28</v>
      </c>
      <c r="C12" s="5" t="n">
        <v>46056</v>
      </c>
      <c r="D12" s="3" t="s">
        <v>97</v>
      </c>
      <c r="E12" s="3" t="s">
        <v>30</v>
      </c>
      <c r="F12" s="3" t="s">
        <v>31</v>
      </c>
      <c r="G12" s="3" t="s">
        <v>98</v>
      </c>
      <c r="H12" s="0" t="n">
        <v>184</v>
      </c>
      <c r="I12" s="0" t="n">
        <v>2660.62</v>
      </c>
      <c r="J12" s="0" t="n">
        <v>3991.04</v>
      </c>
      <c r="K12" s="0" t="n">
        <v>3991.04</v>
      </c>
      <c r="L12" s="3" t="s">
        <v>39</v>
      </c>
    </row>
    <row r="13" customFormat="false" ht="15" hidden="false" customHeight="false" outlineLevel="0" collapsed="false">
      <c r="A13" s="0" t="n">
        <v>10</v>
      </c>
      <c r="B13" s="0" t="s">
        <v>28</v>
      </c>
      <c r="C13" s="5" t="n">
        <v>46056</v>
      </c>
      <c r="D13" s="3" t="s">
        <v>105</v>
      </c>
      <c r="E13" s="3" t="s">
        <v>30</v>
      </c>
      <c r="F13" s="3" t="s">
        <v>31</v>
      </c>
      <c r="G13" s="3" t="s">
        <v>106</v>
      </c>
      <c r="H13" s="0" t="n">
        <v>143</v>
      </c>
      <c r="I13" s="0" t="n">
        <v>818.86</v>
      </c>
      <c r="J13" s="0" t="n">
        <v>1064.59</v>
      </c>
      <c r="K13" s="0" t="n">
        <v>1064.59</v>
      </c>
      <c r="L13" s="3" t="s">
        <v>39</v>
      </c>
    </row>
    <row r="14" customFormat="false" ht="15" hidden="false" customHeight="false" outlineLevel="0" collapsed="false">
      <c r="A14" s="0" t="n">
        <v>11</v>
      </c>
      <c r="B14" s="0" t="s">
        <v>28</v>
      </c>
      <c r="C14" s="5" t="n">
        <v>46056</v>
      </c>
      <c r="D14" s="3" t="s">
        <v>112</v>
      </c>
      <c r="E14" s="3" t="s">
        <v>67</v>
      </c>
      <c r="F14" s="3" t="s">
        <v>31</v>
      </c>
      <c r="G14" s="3" t="s">
        <v>68</v>
      </c>
      <c r="H14" s="0" t="n">
        <v>216</v>
      </c>
      <c r="I14" s="0" t="n">
        <v>2056.92</v>
      </c>
      <c r="J14" s="0" t="n">
        <v>2057.24</v>
      </c>
      <c r="K14" s="0" t="n">
        <v>2057.24</v>
      </c>
      <c r="L14" s="3" t="s">
        <v>39</v>
      </c>
    </row>
    <row r="15" customFormat="false" ht="15" hidden="false" customHeight="false" outlineLevel="0" collapsed="false">
      <c r="A15" s="0" t="n">
        <v>12</v>
      </c>
      <c r="B15" s="0" t="s">
        <v>48</v>
      </c>
      <c r="C15" s="5" t="n">
        <v>46056</v>
      </c>
      <c r="D15" s="3" t="s">
        <v>118</v>
      </c>
      <c r="E15" s="3" t="s">
        <v>30</v>
      </c>
      <c r="F15" s="3" t="s">
        <v>31</v>
      </c>
      <c r="G15" s="3" t="s">
        <v>76</v>
      </c>
      <c r="H15" s="0" t="n">
        <v>21</v>
      </c>
      <c r="I15" s="0" t="n">
        <v>2136.44</v>
      </c>
      <c r="J15" s="0" t="n">
        <v>2136.46</v>
      </c>
      <c r="K15" s="0" t="n">
        <v>2136.46</v>
      </c>
      <c r="L15" s="3" t="s">
        <v>39</v>
      </c>
    </row>
    <row r="16" customFormat="false" ht="15" hidden="false" customHeight="false" outlineLevel="0" collapsed="false">
      <c r="A16" s="0" t="n">
        <v>13</v>
      </c>
      <c r="B16" s="0" t="s">
        <v>48</v>
      </c>
      <c r="C16" s="5" t="n">
        <v>46056</v>
      </c>
      <c r="D16" s="3" t="s">
        <v>125</v>
      </c>
      <c r="E16" s="3" t="s">
        <v>30</v>
      </c>
      <c r="F16" s="3" t="s">
        <v>31</v>
      </c>
      <c r="G16" s="3" t="s">
        <v>50</v>
      </c>
      <c r="H16" s="0" t="n">
        <v>135</v>
      </c>
      <c r="I16" s="0" t="n">
        <v>1128.35</v>
      </c>
      <c r="J16" s="0" t="n">
        <v>1128.58</v>
      </c>
      <c r="K16" s="0" t="n">
        <v>1128.58</v>
      </c>
      <c r="L16" s="3" t="s">
        <v>39</v>
      </c>
    </row>
    <row r="17" customFormat="false" ht="15" hidden="false" customHeight="false" outlineLevel="0" collapsed="false">
      <c r="A17" s="0" t="n">
        <v>14</v>
      </c>
      <c r="B17" s="0" t="s">
        <v>28</v>
      </c>
      <c r="C17" s="5" t="n">
        <v>46057</v>
      </c>
      <c r="D17" s="3" t="s">
        <v>132</v>
      </c>
      <c r="E17" s="3" t="s">
        <v>30</v>
      </c>
      <c r="F17" s="3" t="s">
        <v>31</v>
      </c>
      <c r="G17" s="3" t="s">
        <v>41</v>
      </c>
      <c r="H17" s="0" t="n">
        <v>156</v>
      </c>
      <c r="I17" s="0" t="n">
        <v>2633.27</v>
      </c>
      <c r="J17" s="0" t="n">
        <v>2633.72</v>
      </c>
      <c r="K17" s="0" t="n">
        <v>2633.72</v>
      </c>
      <c r="L17" s="3" t="s">
        <v>138</v>
      </c>
    </row>
    <row r="18" customFormat="false" ht="15" hidden="false" customHeight="false" outlineLevel="0" collapsed="false">
      <c r="A18" s="0" t="n">
        <v>15</v>
      </c>
      <c r="B18" s="0" t="s">
        <v>28</v>
      </c>
      <c r="C18" s="5" t="n">
        <v>46057</v>
      </c>
      <c r="D18" s="3" t="s">
        <v>139</v>
      </c>
      <c r="E18" s="3" t="s">
        <v>67</v>
      </c>
      <c r="F18" s="3" t="s">
        <v>31</v>
      </c>
      <c r="G18" s="3" t="s">
        <v>140</v>
      </c>
      <c r="H18" s="0" t="n">
        <v>6</v>
      </c>
      <c r="I18" s="0" t="n">
        <v>2590.9</v>
      </c>
      <c r="J18" s="0" t="n">
        <v>2591.12</v>
      </c>
      <c r="K18" s="0" t="n">
        <v>2591.12</v>
      </c>
      <c r="L18" s="3" t="s">
        <v>39</v>
      </c>
    </row>
    <row r="19" customFormat="false" ht="15" hidden="false" customHeight="false" outlineLevel="0" collapsed="false">
      <c r="A19" s="0" t="n">
        <v>16</v>
      </c>
      <c r="B19" s="0" t="s">
        <v>48</v>
      </c>
      <c r="C19" s="5" t="n">
        <v>46057</v>
      </c>
      <c r="D19" s="3" t="s">
        <v>147</v>
      </c>
      <c r="E19" s="3" t="s">
        <v>30</v>
      </c>
      <c r="F19" s="3" t="s">
        <v>31</v>
      </c>
      <c r="G19" s="3" t="s">
        <v>76</v>
      </c>
      <c r="H19" s="0" t="n">
        <v>37</v>
      </c>
      <c r="I19" s="0" t="n">
        <v>2472.85</v>
      </c>
      <c r="J19" s="0" t="n">
        <v>2472.88</v>
      </c>
      <c r="K19" s="0" t="n">
        <v>2472.88</v>
      </c>
      <c r="L19" s="3" t="s">
        <v>39</v>
      </c>
    </row>
    <row r="20" customFormat="false" ht="15" hidden="false" customHeight="false" outlineLevel="0" collapsed="false">
      <c r="A20" s="0" t="n">
        <v>17</v>
      </c>
      <c r="B20" s="0" t="s">
        <v>28</v>
      </c>
      <c r="C20" s="5" t="n">
        <v>46058</v>
      </c>
      <c r="D20" s="3" t="s">
        <v>154</v>
      </c>
      <c r="E20" s="3" t="s">
        <v>30</v>
      </c>
      <c r="F20" s="3" t="s">
        <v>31</v>
      </c>
      <c r="G20" s="3" t="s">
        <v>50</v>
      </c>
      <c r="H20" s="0" t="n">
        <v>130</v>
      </c>
      <c r="I20" s="0" t="n">
        <v>2689.59</v>
      </c>
      <c r="J20" s="0" t="n">
        <v>3496.72</v>
      </c>
      <c r="K20" s="0" t="n">
        <v>3496.72</v>
      </c>
      <c r="L20" s="3" t="s">
        <v>39</v>
      </c>
    </row>
    <row r="21" customFormat="false" ht="15" hidden="false" customHeight="false" outlineLevel="0" collapsed="false">
      <c r="A21" s="0" t="n">
        <v>18</v>
      </c>
      <c r="B21" s="0" t="s">
        <v>48</v>
      </c>
      <c r="C21" s="5" t="n">
        <v>46058</v>
      </c>
      <c r="D21" s="3" t="s">
        <v>160</v>
      </c>
      <c r="E21" s="3" t="s">
        <v>30</v>
      </c>
      <c r="F21" s="3" t="s">
        <v>31</v>
      </c>
      <c r="G21" s="3" t="s">
        <v>50</v>
      </c>
      <c r="H21" s="0" t="n">
        <v>128</v>
      </c>
      <c r="I21" s="0" t="n">
        <v>3048.01</v>
      </c>
      <c r="J21" s="0" t="n">
        <v>3048.12</v>
      </c>
      <c r="K21" s="0" t="n">
        <v>3048.12</v>
      </c>
      <c r="L21" s="3" t="s">
        <v>39</v>
      </c>
    </row>
    <row r="22" customFormat="false" ht="15" hidden="false" customHeight="false" outlineLevel="0" collapsed="false">
      <c r="A22" s="0" t="n">
        <v>19</v>
      </c>
      <c r="B22" s="0" t="s">
        <v>48</v>
      </c>
      <c r="C22" s="5" t="n">
        <v>46058</v>
      </c>
      <c r="D22" s="3" t="s">
        <v>166</v>
      </c>
      <c r="E22" s="3" t="s">
        <v>30</v>
      </c>
      <c r="F22" s="3" t="s">
        <v>31</v>
      </c>
      <c r="G22" s="3" t="s">
        <v>58</v>
      </c>
      <c r="H22" s="0" t="n">
        <v>139</v>
      </c>
      <c r="I22" s="0" t="n">
        <v>36.02</v>
      </c>
      <c r="J22" s="0" t="n">
        <v>36.36</v>
      </c>
      <c r="K22" s="0" t="n">
        <v>36.36</v>
      </c>
      <c r="L22" s="3" t="s">
        <v>39</v>
      </c>
    </row>
    <row r="23" customFormat="false" ht="15" hidden="false" customHeight="false" outlineLevel="0" collapsed="false">
      <c r="A23" s="0" t="n">
        <v>20</v>
      </c>
      <c r="B23" s="0" t="s">
        <v>28</v>
      </c>
      <c r="C23" s="5" t="n">
        <v>46059</v>
      </c>
      <c r="D23" s="3" t="s">
        <v>172</v>
      </c>
      <c r="E23" s="3" t="s">
        <v>30</v>
      </c>
      <c r="F23" s="3" t="s">
        <v>31</v>
      </c>
      <c r="G23" s="3" t="s">
        <v>50</v>
      </c>
      <c r="H23" s="0" t="n">
        <v>206</v>
      </c>
      <c r="I23" s="0" t="n">
        <v>1016.42</v>
      </c>
      <c r="J23" s="0" t="n">
        <v>1524.95</v>
      </c>
      <c r="K23" s="0" t="n">
        <v>1524.95</v>
      </c>
      <c r="L23" s="3" t="s">
        <v>39</v>
      </c>
    </row>
    <row r="24" customFormat="false" ht="15" hidden="false" customHeight="false" outlineLevel="0" collapsed="false">
      <c r="A24" s="0" t="n">
        <v>21</v>
      </c>
      <c r="B24" s="0" t="s">
        <v>28</v>
      </c>
      <c r="C24" s="5" t="n">
        <v>46059</v>
      </c>
      <c r="D24" s="3" t="s">
        <v>178</v>
      </c>
      <c r="E24" s="3" t="s">
        <v>30</v>
      </c>
      <c r="F24" s="3" t="s">
        <v>31</v>
      </c>
      <c r="G24" s="3" t="s">
        <v>50</v>
      </c>
      <c r="H24" s="0" t="n">
        <v>25</v>
      </c>
      <c r="I24" s="0" t="n">
        <v>417.3</v>
      </c>
      <c r="J24" s="0" t="n">
        <v>542.89</v>
      </c>
      <c r="K24" s="0" t="n">
        <v>542.89</v>
      </c>
      <c r="L24" s="3" t="s">
        <v>183</v>
      </c>
    </row>
    <row r="25" customFormat="false" ht="15" hidden="false" customHeight="false" outlineLevel="0" collapsed="false">
      <c r="A25" s="0" t="n">
        <v>22</v>
      </c>
      <c r="B25" s="0" t="s">
        <v>28</v>
      </c>
      <c r="C25" s="5" t="n">
        <v>46059</v>
      </c>
      <c r="D25" s="3" t="s">
        <v>184</v>
      </c>
      <c r="E25" s="3" t="s">
        <v>67</v>
      </c>
      <c r="F25" s="3" t="s">
        <v>31</v>
      </c>
      <c r="G25" s="3" t="s">
        <v>98</v>
      </c>
      <c r="H25" s="0" t="n">
        <v>203</v>
      </c>
      <c r="I25" s="0" t="n">
        <v>836.91</v>
      </c>
      <c r="J25" s="0" t="n">
        <v>1088.35</v>
      </c>
      <c r="K25" s="0" t="n">
        <v>1088.35</v>
      </c>
      <c r="L25" s="3" t="s">
        <v>74</v>
      </c>
    </row>
    <row r="26" customFormat="false" ht="15" hidden="false" customHeight="false" outlineLevel="0" collapsed="false">
      <c r="A26" s="0" t="n">
        <v>23</v>
      </c>
      <c r="B26" s="0" t="s">
        <v>28</v>
      </c>
      <c r="C26" s="5" t="n">
        <v>46059</v>
      </c>
      <c r="D26" s="3" t="s">
        <v>190</v>
      </c>
      <c r="E26" s="3" t="s">
        <v>30</v>
      </c>
      <c r="F26" s="3" t="s">
        <v>31</v>
      </c>
      <c r="G26" s="3" t="s">
        <v>58</v>
      </c>
      <c r="H26" s="0" t="n">
        <v>176</v>
      </c>
      <c r="I26" s="0" t="n">
        <v>2678.09</v>
      </c>
      <c r="J26" s="0" t="n">
        <v>2946.33</v>
      </c>
      <c r="K26" s="0" t="n">
        <v>2946.33</v>
      </c>
      <c r="L26" s="3" t="s">
        <v>39</v>
      </c>
    </row>
    <row r="27" customFormat="false" ht="15" hidden="false" customHeight="false" outlineLevel="0" collapsed="false">
      <c r="A27" s="0" t="n">
        <v>24</v>
      </c>
      <c r="B27" s="0" t="s">
        <v>28</v>
      </c>
      <c r="C27" s="5" t="n">
        <v>46060</v>
      </c>
      <c r="D27" s="3" t="s">
        <v>196</v>
      </c>
      <c r="E27" s="3" t="s">
        <v>30</v>
      </c>
      <c r="F27" s="3" t="s">
        <v>31</v>
      </c>
      <c r="G27" s="3" t="s">
        <v>68</v>
      </c>
      <c r="H27" s="0" t="n">
        <v>35</v>
      </c>
      <c r="I27" s="0" t="n">
        <v>2445.15</v>
      </c>
      <c r="J27" s="0" t="n">
        <v>2445.3</v>
      </c>
      <c r="K27" s="0" t="n">
        <v>2445.3</v>
      </c>
      <c r="L27" s="3" t="s">
        <v>138</v>
      </c>
    </row>
    <row r="28" customFormat="false" ht="15" hidden="false" customHeight="false" outlineLevel="0" collapsed="false">
      <c r="A28" s="0" t="n">
        <v>25</v>
      </c>
      <c r="B28" s="0" t="s">
        <v>28</v>
      </c>
      <c r="C28" s="5" t="n">
        <v>46060</v>
      </c>
      <c r="D28" s="3" t="s">
        <v>202</v>
      </c>
      <c r="E28" s="3" t="s">
        <v>30</v>
      </c>
      <c r="F28" s="3" t="s">
        <v>31</v>
      </c>
      <c r="G28" s="3" t="s">
        <v>32</v>
      </c>
      <c r="H28" s="0" t="n">
        <v>182</v>
      </c>
      <c r="I28" s="0" t="n">
        <v>355.17</v>
      </c>
      <c r="J28" s="0" t="n">
        <v>355.43</v>
      </c>
      <c r="K28" s="0" t="n">
        <v>355.43</v>
      </c>
      <c r="L28" s="3" t="s">
        <v>39</v>
      </c>
    </row>
    <row r="29" customFormat="false" ht="15" hidden="false" customHeight="false" outlineLevel="0" collapsed="false">
      <c r="A29" s="0" t="n">
        <v>26</v>
      </c>
      <c r="B29" s="0" t="s">
        <v>28</v>
      </c>
      <c r="C29" s="5" t="n">
        <v>46060</v>
      </c>
      <c r="D29" s="3" t="s">
        <v>209</v>
      </c>
      <c r="E29" s="3" t="s">
        <v>30</v>
      </c>
      <c r="F29" s="3" t="s">
        <v>31</v>
      </c>
      <c r="G29" s="3" t="s">
        <v>41</v>
      </c>
      <c r="H29" s="0" t="n">
        <v>183</v>
      </c>
      <c r="I29" s="0" t="n">
        <v>857.59</v>
      </c>
      <c r="J29" s="0" t="n">
        <v>857.74</v>
      </c>
      <c r="K29" s="0" t="n">
        <v>857.74</v>
      </c>
      <c r="L29" s="3" t="s">
        <v>138</v>
      </c>
    </row>
    <row r="30" customFormat="false" ht="15" hidden="false" customHeight="false" outlineLevel="0" collapsed="false">
      <c r="A30" s="0" t="n">
        <v>27</v>
      </c>
      <c r="B30" s="0" t="s">
        <v>28</v>
      </c>
      <c r="C30" s="5" t="n">
        <v>46060</v>
      </c>
      <c r="D30" s="3" t="s">
        <v>214</v>
      </c>
      <c r="E30" s="3" t="s">
        <v>67</v>
      </c>
      <c r="F30" s="3" t="s">
        <v>31</v>
      </c>
      <c r="G30" s="3" t="s">
        <v>41</v>
      </c>
      <c r="H30" s="0" t="n">
        <v>147</v>
      </c>
      <c r="I30" s="0" t="n">
        <v>147.57</v>
      </c>
      <c r="J30" s="0" t="n">
        <v>147.67</v>
      </c>
      <c r="K30" s="0" t="n">
        <v>147.67</v>
      </c>
      <c r="L30" s="3" t="s">
        <v>138</v>
      </c>
    </row>
    <row r="31" customFormat="false" ht="15" hidden="false" customHeight="false" outlineLevel="0" collapsed="false">
      <c r="A31" s="0" t="n">
        <v>28</v>
      </c>
      <c r="B31" s="0" t="s">
        <v>48</v>
      </c>
      <c r="C31" s="5" t="n">
        <v>46060</v>
      </c>
      <c r="D31" s="3" t="s">
        <v>220</v>
      </c>
      <c r="E31" s="3" t="s">
        <v>30</v>
      </c>
      <c r="F31" s="3" t="s">
        <v>31</v>
      </c>
      <c r="G31" s="3" t="s">
        <v>140</v>
      </c>
      <c r="H31" s="0" t="n">
        <v>220</v>
      </c>
      <c r="I31" s="0" t="n">
        <v>347.17</v>
      </c>
      <c r="J31" s="0" t="n">
        <v>382.1</v>
      </c>
      <c r="K31" s="0" t="n">
        <v>382.1</v>
      </c>
      <c r="L31" s="3" t="s">
        <v>74</v>
      </c>
    </row>
    <row r="32" customFormat="false" ht="15" hidden="false" customHeight="false" outlineLevel="0" collapsed="false">
      <c r="A32" s="0" t="n">
        <v>29</v>
      </c>
      <c r="B32" s="0" t="s">
        <v>48</v>
      </c>
      <c r="C32" s="5" t="n">
        <v>46060</v>
      </c>
      <c r="D32" s="3" t="s">
        <v>226</v>
      </c>
      <c r="E32" s="3" t="s">
        <v>30</v>
      </c>
      <c r="F32" s="3" t="s">
        <v>31</v>
      </c>
      <c r="G32" s="3" t="s">
        <v>50</v>
      </c>
      <c r="H32" s="0" t="n">
        <v>100</v>
      </c>
      <c r="I32" s="0" t="n">
        <v>2419.2</v>
      </c>
      <c r="J32" s="0" t="n">
        <v>2419.36</v>
      </c>
      <c r="K32" s="0" t="n">
        <v>2419.36</v>
      </c>
      <c r="L32" s="3" t="s">
        <v>39</v>
      </c>
    </row>
    <row r="33" customFormat="false" ht="15" hidden="false" customHeight="false" outlineLevel="0" collapsed="false">
      <c r="A33" s="0" t="n">
        <v>30</v>
      </c>
      <c r="B33" s="0" t="s">
        <v>28</v>
      </c>
      <c r="C33" s="5" t="n">
        <v>46061</v>
      </c>
      <c r="D33" s="3" t="s">
        <v>232</v>
      </c>
      <c r="E33" s="3" t="s">
        <v>30</v>
      </c>
      <c r="F33" s="3" t="s">
        <v>31</v>
      </c>
      <c r="G33" s="3" t="s">
        <v>32</v>
      </c>
      <c r="H33" s="0" t="n">
        <v>182</v>
      </c>
      <c r="I33" s="0" t="n">
        <v>2633.95</v>
      </c>
      <c r="J33" s="0" t="n">
        <v>3424.41</v>
      </c>
      <c r="K33" s="0" t="n">
        <v>3424.41</v>
      </c>
      <c r="L33" s="3" t="s">
        <v>138</v>
      </c>
    </row>
    <row r="34" customFormat="false" ht="15" hidden="false" customHeight="false" outlineLevel="0" collapsed="false">
      <c r="A34" s="0" t="n">
        <v>31</v>
      </c>
      <c r="B34" s="0" t="s">
        <v>28</v>
      </c>
      <c r="C34" s="5" t="n">
        <v>46061</v>
      </c>
      <c r="D34" s="3" t="s">
        <v>237</v>
      </c>
      <c r="E34" s="3" t="s">
        <v>30</v>
      </c>
      <c r="F34" s="3" t="s">
        <v>31</v>
      </c>
      <c r="G34" s="3" t="s">
        <v>106</v>
      </c>
      <c r="H34" s="0" t="n">
        <v>161</v>
      </c>
      <c r="I34" s="0" t="n">
        <v>1508.05</v>
      </c>
      <c r="J34" s="0" t="n">
        <v>1508.15</v>
      </c>
      <c r="K34" s="0" t="n">
        <v>1508.15</v>
      </c>
      <c r="L34" s="3" t="s">
        <v>243</v>
      </c>
    </row>
    <row r="35" customFormat="false" ht="15" hidden="false" customHeight="false" outlineLevel="0" collapsed="false">
      <c r="A35" s="0" t="n">
        <v>32</v>
      </c>
      <c r="B35" s="0" t="s">
        <v>28</v>
      </c>
      <c r="C35" s="5" t="n">
        <v>46061</v>
      </c>
      <c r="D35" s="3" t="s">
        <v>244</v>
      </c>
      <c r="E35" s="3" t="s">
        <v>30</v>
      </c>
      <c r="F35" s="3" t="s">
        <v>31</v>
      </c>
      <c r="G35" s="3" t="s">
        <v>68</v>
      </c>
      <c r="H35" s="0" t="n">
        <v>92</v>
      </c>
      <c r="I35" s="0" t="n">
        <v>2567.09</v>
      </c>
      <c r="J35" s="0" t="n">
        <v>2823.94</v>
      </c>
      <c r="K35" s="0" t="n">
        <v>2823.94</v>
      </c>
      <c r="L35" s="3" t="s">
        <v>39</v>
      </c>
    </row>
    <row r="36" customFormat="false" ht="15" hidden="false" customHeight="false" outlineLevel="0" collapsed="false">
      <c r="A36" s="0" t="n">
        <v>33</v>
      </c>
      <c r="B36" s="0" t="s">
        <v>28</v>
      </c>
      <c r="C36" s="5" t="n">
        <v>46061</v>
      </c>
      <c r="D36" s="3" t="s">
        <v>250</v>
      </c>
      <c r="E36" s="3" t="s">
        <v>30</v>
      </c>
      <c r="F36" s="3" t="s">
        <v>31</v>
      </c>
      <c r="G36" s="3" t="s">
        <v>32</v>
      </c>
      <c r="H36" s="0" t="n">
        <v>100</v>
      </c>
      <c r="I36" s="0" t="n">
        <v>2431.88</v>
      </c>
      <c r="J36" s="0" t="n">
        <v>2675.15</v>
      </c>
      <c r="K36" s="0" t="n">
        <v>2675.15</v>
      </c>
      <c r="L36" s="3" t="s">
        <v>39</v>
      </c>
    </row>
    <row r="37" customFormat="false" ht="15" hidden="false" customHeight="false" outlineLevel="0" collapsed="false">
      <c r="A37" s="0" t="n">
        <v>34</v>
      </c>
      <c r="B37" s="0" t="s">
        <v>28</v>
      </c>
      <c r="C37" s="5" t="n">
        <v>46061</v>
      </c>
      <c r="D37" s="3" t="s">
        <v>256</v>
      </c>
      <c r="E37" s="3" t="s">
        <v>67</v>
      </c>
      <c r="F37" s="3" t="s">
        <v>31</v>
      </c>
      <c r="G37" s="3" t="s">
        <v>106</v>
      </c>
      <c r="H37" s="0" t="n">
        <v>4</v>
      </c>
      <c r="I37" s="0" t="n">
        <v>2356.18</v>
      </c>
      <c r="J37" s="0" t="n">
        <v>2591.98</v>
      </c>
      <c r="K37" s="0" t="n">
        <v>2591.98</v>
      </c>
      <c r="L37" s="3" t="s">
        <v>65</v>
      </c>
    </row>
    <row r="38" customFormat="false" ht="15" hidden="false" customHeight="false" outlineLevel="0" collapsed="false">
      <c r="A38" s="0" t="n">
        <v>35</v>
      </c>
      <c r="B38" s="0" t="s">
        <v>28</v>
      </c>
      <c r="C38" s="5" t="n">
        <v>46061</v>
      </c>
      <c r="D38" s="3" t="s">
        <v>262</v>
      </c>
      <c r="E38" s="3" t="s">
        <v>30</v>
      </c>
      <c r="F38" s="3" t="s">
        <v>31</v>
      </c>
      <c r="G38" s="3" t="s">
        <v>68</v>
      </c>
      <c r="H38" s="0" t="n">
        <v>58</v>
      </c>
      <c r="I38" s="0" t="n">
        <v>559.01</v>
      </c>
      <c r="J38" s="0" t="n">
        <v>559.11</v>
      </c>
      <c r="K38" s="0" t="n">
        <v>559.11</v>
      </c>
      <c r="L38" s="3" t="s">
        <v>39</v>
      </c>
    </row>
    <row r="39" customFormat="false" ht="15" hidden="false" customHeight="false" outlineLevel="0" collapsed="false">
      <c r="A39" s="0" t="n">
        <v>36</v>
      </c>
      <c r="B39" s="0" t="s">
        <v>28</v>
      </c>
      <c r="C39" s="5" t="n">
        <v>46061</v>
      </c>
      <c r="D39" s="3" t="s">
        <v>267</v>
      </c>
      <c r="E39" s="3" t="s">
        <v>30</v>
      </c>
      <c r="F39" s="3" t="s">
        <v>31</v>
      </c>
      <c r="G39" s="3" t="s">
        <v>98</v>
      </c>
      <c r="H39" s="0" t="n">
        <v>53</v>
      </c>
      <c r="I39" s="0" t="n">
        <v>2376.75</v>
      </c>
      <c r="J39" s="0" t="n">
        <v>2614.53</v>
      </c>
      <c r="K39" s="0" t="n">
        <v>2614.53</v>
      </c>
      <c r="L39" s="3" t="s">
        <v>39</v>
      </c>
    </row>
    <row r="40" customFormat="false" ht="15" hidden="false" customHeight="false" outlineLevel="0" collapsed="false">
      <c r="A40" s="0" t="n">
        <v>37</v>
      </c>
      <c r="B40" s="0" t="s">
        <v>48</v>
      </c>
      <c r="C40" s="5" t="n">
        <v>46061</v>
      </c>
      <c r="D40" s="3" t="s">
        <v>273</v>
      </c>
      <c r="E40" s="3" t="s">
        <v>30</v>
      </c>
      <c r="F40" s="3" t="s">
        <v>31</v>
      </c>
      <c r="G40" s="3" t="s">
        <v>58</v>
      </c>
      <c r="H40" s="0" t="n">
        <v>177</v>
      </c>
      <c r="I40" s="0" t="n">
        <v>2820.53</v>
      </c>
      <c r="J40" s="0" t="n">
        <v>4231.04</v>
      </c>
      <c r="K40" s="0" t="n">
        <v>4231.04</v>
      </c>
      <c r="L40" s="3" t="s">
        <v>138</v>
      </c>
    </row>
    <row r="41" customFormat="false" ht="15" hidden="false" customHeight="false" outlineLevel="0" collapsed="false">
      <c r="A41" s="0" t="n">
        <v>38</v>
      </c>
      <c r="B41" s="0" t="s">
        <v>28</v>
      </c>
      <c r="C41" s="5" t="n">
        <v>46062</v>
      </c>
      <c r="D41" s="3" t="s">
        <v>278</v>
      </c>
      <c r="E41" s="3" t="s">
        <v>30</v>
      </c>
      <c r="F41" s="3" t="s">
        <v>31</v>
      </c>
      <c r="G41" s="3" t="s">
        <v>50</v>
      </c>
      <c r="H41" s="0" t="n">
        <v>212</v>
      </c>
      <c r="I41" s="0" t="n">
        <v>2740.06</v>
      </c>
      <c r="J41" s="0" t="n">
        <v>2740.51</v>
      </c>
      <c r="K41" s="0" t="n">
        <v>2740.51</v>
      </c>
      <c r="L41" s="3" t="s">
        <v>243</v>
      </c>
    </row>
    <row r="42" customFormat="false" ht="15" hidden="false" customHeight="false" outlineLevel="0" collapsed="false">
      <c r="A42" s="0" t="n">
        <v>39</v>
      </c>
      <c r="B42" s="0" t="s">
        <v>28</v>
      </c>
      <c r="C42" s="5" t="n">
        <v>46062</v>
      </c>
      <c r="D42" s="3" t="s">
        <v>284</v>
      </c>
      <c r="E42" s="3" t="s">
        <v>30</v>
      </c>
      <c r="F42" s="3" t="s">
        <v>31</v>
      </c>
      <c r="G42" s="3" t="s">
        <v>41</v>
      </c>
      <c r="H42" s="0" t="n">
        <v>194</v>
      </c>
      <c r="I42" s="0" t="n">
        <v>2425.96</v>
      </c>
      <c r="J42" s="0" t="n">
        <v>2426.08</v>
      </c>
      <c r="K42" s="0" t="n">
        <v>2426.08</v>
      </c>
      <c r="L42" s="3" t="s">
        <v>39</v>
      </c>
    </row>
    <row r="43" customFormat="false" ht="15" hidden="false" customHeight="false" outlineLevel="0" collapsed="false">
      <c r="A43" s="0" t="n">
        <v>40</v>
      </c>
      <c r="B43" s="0" t="s">
        <v>28</v>
      </c>
      <c r="C43" s="5" t="n">
        <v>46062</v>
      </c>
      <c r="D43" s="3" t="s">
        <v>290</v>
      </c>
      <c r="E43" s="3" t="s">
        <v>30</v>
      </c>
      <c r="F43" s="3" t="s">
        <v>31</v>
      </c>
      <c r="G43" s="3" t="s">
        <v>140</v>
      </c>
      <c r="H43" s="0" t="n">
        <v>150</v>
      </c>
      <c r="I43" s="0" t="n">
        <v>1354.16</v>
      </c>
      <c r="J43" s="0" t="n">
        <v>1354.35</v>
      </c>
      <c r="K43" s="0" t="n">
        <v>1354.35</v>
      </c>
      <c r="L43" s="3" t="s">
        <v>39</v>
      </c>
    </row>
    <row r="44" customFormat="false" ht="15" hidden="false" customHeight="false" outlineLevel="0" collapsed="false">
      <c r="A44" s="0" t="n">
        <v>41</v>
      </c>
      <c r="B44" s="0" t="s">
        <v>28</v>
      </c>
      <c r="C44" s="5" t="n">
        <v>46062</v>
      </c>
      <c r="D44" s="3" t="s">
        <v>296</v>
      </c>
      <c r="E44" s="3" t="s">
        <v>30</v>
      </c>
      <c r="F44" s="3" t="s">
        <v>31</v>
      </c>
      <c r="G44" s="3" t="s">
        <v>106</v>
      </c>
      <c r="H44" s="0" t="n">
        <v>33</v>
      </c>
      <c r="I44" s="0" t="n">
        <v>44.27</v>
      </c>
      <c r="J44" s="0" t="n">
        <v>44.51</v>
      </c>
      <c r="K44" s="0" t="n">
        <v>44.51</v>
      </c>
      <c r="L44" s="3" t="s">
        <v>65</v>
      </c>
    </row>
    <row r="45" customFormat="false" ht="15" hidden="false" customHeight="false" outlineLevel="0" collapsed="false">
      <c r="A45" s="0" t="n">
        <v>42</v>
      </c>
      <c r="B45" s="0" t="s">
        <v>48</v>
      </c>
      <c r="C45" s="5" t="n">
        <v>46062</v>
      </c>
      <c r="D45" s="3" t="s">
        <v>302</v>
      </c>
      <c r="E45" s="3" t="s">
        <v>67</v>
      </c>
      <c r="F45" s="3" t="s">
        <v>31</v>
      </c>
      <c r="G45" s="3" t="s">
        <v>76</v>
      </c>
      <c r="H45" s="0" t="n">
        <v>172</v>
      </c>
      <c r="I45" s="0" t="n">
        <v>1455.29</v>
      </c>
      <c r="J45" s="0" t="n">
        <v>1892.28</v>
      </c>
      <c r="K45" s="0" t="n">
        <v>1892.28</v>
      </c>
      <c r="L45" s="3" t="s">
        <v>39</v>
      </c>
    </row>
    <row r="46" customFormat="false" ht="15" hidden="false" customHeight="false" outlineLevel="0" collapsed="false">
      <c r="A46" s="0" t="n">
        <v>43</v>
      </c>
      <c r="B46" s="0" t="s">
        <v>28</v>
      </c>
      <c r="C46" s="5" t="n">
        <v>46063</v>
      </c>
      <c r="D46" s="3" t="s">
        <v>308</v>
      </c>
      <c r="E46" s="3" t="s">
        <v>67</v>
      </c>
      <c r="F46" s="3" t="s">
        <v>31</v>
      </c>
      <c r="G46" s="3" t="s">
        <v>41</v>
      </c>
      <c r="H46" s="0" t="n">
        <v>100</v>
      </c>
      <c r="I46" s="0" t="n">
        <v>2348.58</v>
      </c>
      <c r="J46" s="0" t="n">
        <v>2348.91</v>
      </c>
      <c r="K46" s="0" t="n">
        <v>2348.91</v>
      </c>
      <c r="L46" s="3" t="s">
        <v>39</v>
      </c>
    </row>
    <row r="47" customFormat="false" ht="15" hidden="false" customHeight="false" outlineLevel="0" collapsed="false">
      <c r="A47" s="0" t="n">
        <v>44</v>
      </c>
      <c r="B47" s="0" t="s">
        <v>28</v>
      </c>
      <c r="C47" s="5" t="n">
        <v>46063</v>
      </c>
      <c r="D47" s="3" t="s">
        <v>314</v>
      </c>
      <c r="E47" s="3" t="s">
        <v>30</v>
      </c>
      <c r="F47" s="3" t="s">
        <v>31</v>
      </c>
      <c r="G47" s="3" t="s">
        <v>50</v>
      </c>
      <c r="H47" s="0" t="n">
        <v>199</v>
      </c>
      <c r="I47" s="0" t="n">
        <v>2924.8</v>
      </c>
      <c r="J47" s="0" t="n">
        <v>3217.6</v>
      </c>
      <c r="K47" s="0" t="n">
        <v>3217.6</v>
      </c>
      <c r="L47" s="3" t="s">
        <v>39</v>
      </c>
    </row>
    <row r="48" customFormat="false" ht="15" hidden="false" customHeight="false" outlineLevel="0" collapsed="false">
      <c r="A48" s="0" t="n">
        <v>45</v>
      </c>
      <c r="B48" s="0" t="s">
        <v>28</v>
      </c>
      <c r="C48" s="5" t="n">
        <v>46064</v>
      </c>
      <c r="D48" s="3" t="s">
        <v>319</v>
      </c>
      <c r="E48" s="3" t="s">
        <v>30</v>
      </c>
      <c r="F48" s="3" t="s">
        <v>31</v>
      </c>
      <c r="G48" s="3" t="s">
        <v>76</v>
      </c>
      <c r="H48" s="0" t="n">
        <v>209</v>
      </c>
      <c r="I48" s="0" t="n">
        <v>2908.75</v>
      </c>
      <c r="J48" s="0" t="n">
        <v>2908.84</v>
      </c>
      <c r="K48" s="0" t="n">
        <v>2908.84</v>
      </c>
      <c r="L48" s="3" t="s">
        <v>74</v>
      </c>
    </row>
    <row r="49" customFormat="false" ht="15" hidden="false" customHeight="false" outlineLevel="0" collapsed="false">
      <c r="A49" s="0" t="n">
        <v>46</v>
      </c>
      <c r="B49" s="0" t="s">
        <v>28</v>
      </c>
      <c r="C49" s="5" t="n">
        <v>46064</v>
      </c>
      <c r="D49" s="3" t="s">
        <v>325</v>
      </c>
      <c r="E49" s="3" t="s">
        <v>67</v>
      </c>
      <c r="F49" s="3" t="s">
        <v>31</v>
      </c>
      <c r="G49" s="3" t="s">
        <v>41</v>
      </c>
      <c r="H49" s="0" t="n">
        <v>145</v>
      </c>
      <c r="I49" s="0" t="n">
        <v>2379.31</v>
      </c>
      <c r="J49" s="0" t="n">
        <v>2379.53</v>
      </c>
      <c r="K49" s="0" t="n">
        <v>2379.53</v>
      </c>
      <c r="L49" s="3" t="s">
        <v>39</v>
      </c>
    </row>
    <row r="50" customFormat="false" ht="15" hidden="false" customHeight="false" outlineLevel="0" collapsed="false">
      <c r="A50" s="0" t="n">
        <v>47</v>
      </c>
      <c r="B50" s="0" t="s">
        <v>28</v>
      </c>
      <c r="C50" s="5" t="n">
        <v>46064</v>
      </c>
      <c r="D50" s="3" t="s">
        <v>330</v>
      </c>
      <c r="E50" s="3" t="s">
        <v>30</v>
      </c>
      <c r="F50" s="3" t="s">
        <v>31</v>
      </c>
      <c r="G50" s="3" t="s">
        <v>41</v>
      </c>
      <c r="H50" s="0" t="n">
        <v>196</v>
      </c>
      <c r="I50" s="0" t="n">
        <v>2391.54</v>
      </c>
      <c r="J50" s="0" t="n">
        <v>3587.48</v>
      </c>
      <c r="K50" s="0" t="n">
        <v>3587.48</v>
      </c>
      <c r="L50" s="3" t="s">
        <v>39</v>
      </c>
    </row>
    <row r="51" customFormat="false" ht="15" hidden="false" customHeight="false" outlineLevel="0" collapsed="false">
      <c r="A51" s="0" t="n">
        <v>48</v>
      </c>
      <c r="B51" s="0" t="s">
        <v>48</v>
      </c>
      <c r="C51" s="5" t="n">
        <v>46064</v>
      </c>
      <c r="D51" s="3" t="s">
        <v>335</v>
      </c>
      <c r="E51" s="3" t="s">
        <v>30</v>
      </c>
      <c r="F51" s="3" t="s">
        <v>31</v>
      </c>
      <c r="G51" s="3" t="s">
        <v>98</v>
      </c>
      <c r="H51" s="0" t="n">
        <v>58</v>
      </c>
      <c r="I51" s="0" t="n">
        <v>2000.26</v>
      </c>
      <c r="J51" s="0" t="n">
        <v>3000.55</v>
      </c>
      <c r="K51" s="0" t="n">
        <v>3000.55</v>
      </c>
      <c r="L51" s="3" t="s">
        <v>39</v>
      </c>
    </row>
    <row r="52" customFormat="false" ht="15" hidden="false" customHeight="false" outlineLevel="0" collapsed="false">
      <c r="A52" s="0" t="n">
        <v>49</v>
      </c>
      <c r="B52" s="0" t="s">
        <v>28</v>
      </c>
      <c r="C52" s="5" t="n">
        <v>46065</v>
      </c>
      <c r="D52" s="3" t="s">
        <v>341</v>
      </c>
      <c r="E52" s="3" t="s">
        <v>30</v>
      </c>
      <c r="F52" s="3" t="s">
        <v>31</v>
      </c>
      <c r="G52" s="3" t="s">
        <v>140</v>
      </c>
      <c r="H52" s="0" t="n">
        <v>67</v>
      </c>
      <c r="I52" s="0" t="n">
        <v>1490.64</v>
      </c>
      <c r="J52" s="0" t="n">
        <v>1491.01</v>
      </c>
      <c r="K52" s="0" t="n">
        <v>1491.01</v>
      </c>
      <c r="L52" s="3" t="s">
        <v>89</v>
      </c>
    </row>
    <row r="53" customFormat="false" ht="15" hidden="false" customHeight="false" outlineLevel="0" collapsed="false">
      <c r="A53" s="0" t="n">
        <v>50</v>
      </c>
      <c r="B53" s="0" t="s">
        <v>28</v>
      </c>
      <c r="C53" s="5" t="n">
        <v>46065</v>
      </c>
      <c r="D53" s="3" t="s">
        <v>345</v>
      </c>
      <c r="E53" s="3" t="s">
        <v>30</v>
      </c>
      <c r="F53" s="3" t="s">
        <v>31</v>
      </c>
      <c r="G53" s="3" t="s">
        <v>32</v>
      </c>
      <c r="H53" s="0" t="n">
        <v>166</v>
      </c>
      <c r="I53" s="0" t="n">
        <v>3038.52</v>
      </c>
      <c r="J53" s="0" t="n">
        <v>3950.17</v>
      </c>
      <c r="K53" s="0" t="n">
        <v>3950.17</v>
      </c>
      <c r="L53" s="3" t="s">
        <v>89</v>
      </c>
    </row>
    <row r="54" customFormat="false" ht="15" hidden="false" customHeight="false" outlineLevel="0" collapsed="false">
      <c r="A54" s="0" t="n">
        <v>51</v>
      </c>
      <c r="B54" s="0" t="s">
        <v>28</v>
      </c>
      <c r="C54" s="5" t="n">
        <v>46065</v>
      </c>
      <c r="D54" s="3" t="s">
        <v>351</v>
      </c>
      <c r="E54" s="3" t="s">
        <v>30</v>
      </c>
      <c r="F54" s="3" t="s">
        <v>31</v>
      </c>
      <c r="G54" s="3" t="s">
        <v>68</v>
      </c>
      <c r="H54" s="0" t="n">
        <v>74</v>
      </c>
      <c r="I54" s="0" t="n">
        <v>2579.22</v>
      </c>
      <c r="J54" s="0" t="n">
        <v>3353.4</v>
      </c>
      <c r="K54" s="0" t="n">
        <v>3353.4</v>
      </c>
      <c r="L54" s="3" t="s">
        <v>39</v>
      </c>
    </row>
    <row r="55" customFormat="false" ht="15" hidden="false" customHeight="false" outlineLevel="0" collapsed="false">
      <c r="A55" s="0" t="n">
        <v>52</v>
      </c>
      <c r="B55" s="0" t="s">
        <v>48</v>
      </c>
      <c r="C55" s="5" t="n">
        <v>46065</v>
      </c>
      <c r="D55" s="3" t="s">
        <v>356</v>
      </c>
      <c r="E55" s="3" t="s">
        <v>30</v>
      </c>
      <c r="F55" s="3" t="s">
        <v>31</v>
      </c>
      <c r="G55" s="3" t="s">
        <v>50</v>
      </c>
      <c r="H55" s="0" t="n">
        <v>166</v>
      </c>
      <c r="I55" s="0" t="n">
        <v>1912.52</v>
      </c>
      <c r="J55" s="0" t="n">
        <v>1912.83</v>
      </c>
      <c r="K55" s="0" t="n">
        <v>1912.83</v>
      </c>
      <c r="L55" s="3" t="s">
        <v>39</v>
      </c>
    </row>
    <row r="56" customFormat="false" ht="15" hidden="false" customHeight="false" outlineLevel="0" collapsed="false">
      <c r="A56" s="0" t="n">
        <v>53</v>
      </c>
      <c r="B56" s="0" t="s">
        <v>48</v>
      </c>
      <c r="C56" s="5" t="n">
        <v>46065</v>
      </c>
      <c r="D56" s="3" t="s">
        <v>361</v>
      </c>
      <c r="E56" s="3" t="s">
        <v>30</v>
      </c>
      <c r="F56" s="3" t="s">
        <v>31</v>
      </c>
      <c r="G56" s="3" t="s">
        <v>140</v>
      </c>
      <c r="H56" s="0" t="n">
        <v>205</v>
      </c>
      <c r="I56" s="0" t="n">
        <v>826.69</v>
      </c>
      <c r="J56" s="0" t="n">
        <v>909.82</v>
      </c>
      <c r="K56" s="0" t="n">
        <v>909.82</v>
      </c>
      <c r="L56" s="3" t="s">
        <v>367</v>
      </c>
    </row>
    <row r="57" customFormat="false" ht="15" hidden="false" customHeight="false" outlineLevel="0" collapsed="false">
      <c r="A57" s="0" t="n">
        <v>54</v>
      </c>
      <c r="B57" s="0" t="s">
        <v>48</v>
      </c>
      <c r="C57" s="5" t="n">
        <v>46065</v>
      </c>
      <c r="D57" s="3" t="s">
        <v>368</v>
      </c>
      <c r="E57" s="3" t="s">
        <v>30</v>
      </c>
      <c r="F57" s="3" t="s">
        <v>31</v>
      </c>
      <c r="G57" s="3" t="s">
        <v>68</v>
      </c>
      <c r="H57" s="0" t="n">
        <v>181</v>
      </c>
      <c r="I57" s="0" t="n">
        <v>2486.39</v>
      </c>
      <c r="J57" s="0" t="n">
        <v>2486.57</v>
      </c>
      <c r="K57" s="0" t="n">
        <v>2486.57</v>
      </c>
      <c r="L57" s="3" t="s">
        <v>39</v>
      </c>
    </row>
    <row r="58" customFormat="false" ht="15" hidden="false" customHeight="false" outlineLevel="0" collapsed="false">
      <c r="A58" s="0" t="n">
        <v>55</v>
      </c>
      <c r="B58" s="0" t="s">
        <v>28</v>
      </c>
      <c r="C58" s="5" t="n">
        <v>46066</v>
      </c>
      <c r="D58" s="3" t="s">
        <v>373</v>
      </c>
      <c r="E58" s="3" t="s">
        <v>30</v>
      </c>
      <c r="F58" s="3" t="s">
        <v>31</v>
      </c>
      <c r="G58" s="3" t="s">
        <v>140</v>
      </c>
      <c r="H58" s="0" t="n">
        <v>149</v>
      </c>
      <c r="I58" s="0" t="n">
        <v>1265.92</v>
      </c>
      <c r="J58" s="0" t="n">
        <v>1645.91</v>
      </c>
      <c r="K58" s="0" t="n">
        <v>1645.91</v>
      </c>
      <c r="L58" s="3" t="s">
        <v>39</v>
      </c>
    </row>
    <row r="59" customFormat="false" ht="15" hidden="false" customHeight="false" outlineLevel="0" collapsed="false">
      <c r="A59" s="0" t="n">
        <v>56</v>
      </c>
      <c r="B59" s="0" t="s">
        <v>28</v>
      </c>
      <c r="C59" s="5" t="n">
        <v>46066</v>
      </c>
      <c r="D59" s="3" t="s">
        <v>377</v>
      </c>
      <c r="E59" s="3" t="s">
        <v>30</v>
      </c>
      <c r="F59" s="3" t="s">
        <v>31</v>
      </c>
      <c r="G59" s="3" t="s">
        <v>68</v>
      </c>
      <c r="H59" s="0" t="n">
        <v>128</v>
      </c>
      <c r="I59" s="0" t="n">
        <v>2030.45</v>
      </c>
      <c r="J59" s="0" t="n">
        <v>2640.06</v>
      </c>
      <c r="K59" s="0" t="n">
        <v>2640.06</v>
      </c>
      <c r="L59" s="3" t="s">
        <v>39</v>
      </c>
    </row>
    <row r="60" customFormat="false" ht="15" hidden="false" customHeight="false" outlineLevel="0" collapsed="false">
      <c r="A60" s="0" t="n">
        <v>57</v>
      </c>
      <c r="B60" s="0" t="s">
        <v>48</v>
      </c>
      <c r="C60" s="5" t="n">
        <v>46066</v>
      </c>
      <c r="D60" s="3" t="s">
        <v>383</v>
      </c>
      <c r="E60" s="3" t="s">
        <v>30</v>
      </c>
      <c r="F60" s="3" t="s">
        <v>31</v>
      </c>
      <c r="G60" s="3" t="s">
        <v>50</v>
      </c>
      <c r="H60" s="0" t="n">
        <v>99</v>
      </c>
      <c r="I60" s="0" t="n">
        <v>314.11</v>
      </c>
      <c r="J60" s="0" t="n">
        <v>345.9</v>
      </c>
      <c r="K60" s="0" t="n">
        <v>345.9</v>
      </c>
      <c r="L60" s="3" t="s">
        <v>39</v>
      </c>
    </row>
    <row r="61" customFormat="false" ht="15" hidden="false" customHeight="false" outlineLevel="0" collapsed="false">
      <c r="A61" s="0" t="n">
        <v>58</v>
      </c>
      <c r="B61" s="0" t="s">
        <v>48</v>
      </c>
      <c r="C61" s="5" t="n">
        <v>46066</v>
      </c>
      <c r="D61" s="3" t="s">
        <v>387</v>
      </c>
      <c r="E61" s="3" t="s">
        <v>30</v>
      </c>
      <c r="F61" s="3" t="s">
        <v>31</v>
      </c>
      <c r="G61" s="3" t="s">
        <v>58</v>
      </c>
      <c r="H61" s="0" t="n">
        <v>180</v>
      </c>
      <c r="I61" s="0" t="n">
        <v>212</v>
      </c>
      <c r="J61" s="0" t="n">
        <v>233.64</v>
      </c>
      <c r="K61" s="0" t="n">
        <v>233.64</v>
      </c>
      <c r="L61" s="3" t="s">
        <v>39</v>
      </c>
    </row>
    <row r="62" customFormat="false" ht="15" hidden="false" customHeight="false" outlineLevel="0" collapsed="false">
      <c r="A62" s="0" t="n">
        <v>59</v>
      </c>
      <c r="B62" s="0" t="s">
        <v>48</v>
      </c>
      <c r="C62" s="5" t="n">
        <v>46066</v>
      </c>
      <c r="D62" s="3" t="s">
        <v>393</v>
      </c>
      <c r="E62" s="3" t="s">
        <v>30</v>
      </c>
      <c r="F62" s="3" t="s">
        <v>31</v>
      </c>
      <c r="G62" s="3" t="s">
        <v>98</v>
      </c>
      <c r="H62" s="0" t="n">
        <v>1</v>
      </c>
      <c r="I62" s="0" t="n">
        <v>1105.31</v>
      </c>
      <c r="J62" s="0" t="n">
        <v>1105.47</v>
      </c>
      <c r="K62" s="0" t="n">
        <v>1105.47</v>
      </c>
      <c r="L62" s="3" t="s">
        <v>243</v>
      </c>
    </row>
    <row r="63" customFormat="false" ht="15" hidden="false" customHeight="false" outlineLevel="0" collapsed="false">
      <c r="A63" s="0" t="n">
        <v>60</v>
      </c>
      <c r="B63" s="0" t="s">
        <v>28</v>
      </c>
      <c r="C63" s="5" t="n">
        <v>46067</v>
      </c>
      <c r="D63" s="3" t="s">
        <v>399</v>
      </c>
      <c r="E63" s="3" t="s">
        <v>30</v>
      </c>
      <c r="F63" s="3" t="s">
        <v>31</v>
      </c>
      <c r="G63" s="3" t="s">
        <v>32</v>
      </c>
      <c r="H63" s="0" t="n">
        <v>44</v>
      </c>
      <c r="I63" s="0" t="n">
        <v>2659.8</v>
      </c>
      <c r="J63" s="0" t="n">
        <v>2660.13</v>
      </c>
      <c r="K63" s="0" t="n">
        <v>2660.13</v>
      </c>
      <c r="L63" s="3" t="s">
        <v>39</v>
      </c>
    </row>
    <row r="64" customFormat="false" ht="15" hidden="false" customHeight="false" outlineLevel="0" collapsed="false">
      <c r="A64" s="0" t="n">
        <v>61</v>
      </c>
      <c r="B64" s="0" t="s">
        <v>28</v>
      </c>
      <c r="C64" s="5" t="n">
        <v>46067</v>
      </c>
      <c r="D64" s="3" t="s">
        <v>405</v>
      </c>
      <c r="E64" s="3" t="s">
        <v>30</v>
      </c>
      <c r="F64" s="3" t="s">
        <v>31</v>
      </c>
      <c r="G64" s="3" t="s">
        <v>58</v>
      </c>
      <c r="H64" s="0" t="n">
        <v>132</v>
      </c>
      <c r="I64" s="0" t="n">
        <v>1265.29</v>
      </c>
      <c r="J64" s="0" t="n">
        <v>1898.23</v>
      </c>
      <c r="K64" s="0" t="n">
        <v>1898.23</v>
      </c>
      <c r="L64" s="3" t="s">
        <v>367</v>
      </c>
    </row>
    <row r="65" customFormat="false" ht="15" hidden="false" customHeight="false" outlineLevel="0" collapsed="false">
      <c r="A65" s="0" t="n">
        <v>62</v>
      </c>
      <c r="B65" s="0" t="s">
        <v>48</v>
      </c>
      <c r="C65" s="5" t="n">
        <v>46067</v>
      </c>
      <c r="D65" s="3" t="s">
        <v>411</v>
      </c>
      <c r="E65" s="3" t="s">
        <v>30</v>
      </c>
      <c r="F65" s="3" t="s">
        <v>31</v>
      </c>
      <c r="G65" s="3" t="s">
        <v>32</v>
      </c>
      <c r="H65" s="0" t="n">
        <v>197</v>
      </c>
      <c r="I65" s="0" t="n">
        <v>2181.5</v>
      </c>
      <c r="J65" s="0" t="n">
        <v>3272.71</v>
      </c>
      <c r="K65" s="0" t="n">
        <v>3272.71</v>
      </c>
      <c r="L65" s="3" t="s">
        <v>39</v>
      </c>
    </row>
    <row r="66" customFormat="false" ht="15" hidden="false" customHeight="false" outlineLevel="0" collapsed="false">
      <c r="A66" s="0" t="n">
        <v>63</v>
      </c>
      <c r="B66" s="0" t="s">
        <v>48</v>
      </c>
      <c r="C66" s="5" t="n">
        <v>46067</v>
      </c>
      <c r="D66" s="3" t="s">
        <v>417</v>
      </c>
      <c r="E66" s="3" t="s">
        <v>30</v>
      </c>
      <c r="F66" s="3" t="s">
        <v>31</v>
      </c>
      <c r="G66" s="3" t="s">
        <v>98</v>
      </c>
      <c r="H66" s="0" t="n">
        <v>121</v>
      </c>
      <c r="I66" s="0" t="n">
        <v>1648.81</v>
      </c>
      <c r="J66" s="0" t="n">
        <v>1648.87</v>
      </c>
      <c r="K66" s="0" t="n">
        <v>1648.87</v>
      </c>
      <c r="L66" s="3" t="s">
        <v>39</v>
      </c>
    </row>
    <row r="67" customFormat="false" ht="15" hidden="false" customHeight="false" outlineLevel="0" collapsed="false">
      <c r="A67" s="0" t="n">
        <v>64</v>
      </c>
      <c r="B67" s="0" t="s">
        <v>48</v>
      </c>
      <c r="C67" s="5" t="n">
        <v>46067</v>
      </c>
      <c r="D67" s="3" t="s">
        <v>422</v>
      </c>
      <c r="E67" s="3" t="s">
        <v>30</v>
      </c>
      <c r="F67" s="3" t="s">
        <v>31</v>
      </c>
      <c r="G67" s="3" t="s">
        <v>50</v>
      </c>
      <c r="H67" s="0" t="n">
        <v>184</v>
      </c>
      <c r="I67" s="0" t="n">
        <v>1954.92</v>
      </c>
      <c r="J67" s="0" t="n">
        <v>1955.27</v>
      </c>
      <c r="K67" s="0" t="n">
        <v>1955.27</v>
      </c>
      <c r="L67" s="3" t="s">
        <v>39</v>
      </c>
    </row>
    <row r="68" customFormat="false" ht="15" hidden="false" customHeight="false" outlineLevel="0" collapsed="false">
      <c r="A68" s="0" t="n">
        <v>65</v>
      </c>
      <c r="B68" s="0" t="s">
        <v>48</v>
      </c>
      <c r="C68" s="5" t="n">
        <v>46067</v>
      </c>
      <c r="D68" s="3" t="s">
        <v>427</v>
      </c>
      <c r="E68" s="3" t="s">
        <v>30</v>
      </c>
      <c r="F68" s="3" t="s">
        <v>31</v>
      </c>
      <c r="G68" s="3" t="s">
        <v>41</v>
      </c>
      <c r="H68" s="0" t="n">
        <v>18</v>
      </c>
      <c r="I68" s="0" t="n">
        <v>769.72</v>
      </c>
      <c r="J68" s="0" t="n">
        <v>770.03</v>
      </c>
      <c r="K68" s="0" t="n">
        <v>770.03</v>
      </c>
      <c r="L68" s="3" t="s">
        <v>39</v>
      </c>
    </row>
    <row r="69" customFormat="false" ht="15" hidden="false" customHeight="false" outlineLevel="0" collapsed="false">
      <c r="A69" s="0" t="n">
        <v>66</v>
      </c>
      <c r="B69" s="0" t="s">
        <v>28</v>
      </c>
      <c r="C69" s="5" t="n">
        <v>46068</v>
      </c>
      <c r="D69" s="3" t="s">
        <v>433</v>
      </c>
      <c r="E69" s="3" t="s">
        <v>30</v>
      </c>
      <c r="F69" s="3" t="s">
        <v>31</v>
      </c>
      <c r="G69" s="3" t="s">
        <v>68</v>
      </c>
      <c r="H69" s="0" t="n">
        <v>42</v>
      </c>
      <c r="I69" s="0" t="n">
        <v>2961.45</v>
      </c>
      <c r="J69" s="0" t="n">
        <v>3257.94</v>
      </c>
      <c r="K69" s="0" t="n">
        <v>3257.94</v>
      </c>
      <c r="L69" s="3" t="s">
        <v>39</v>
      </c>
    </row>
    <row r="70" customFormat="false" ht="15" hidden="false" customHeight="false" outlineLevel="0" collapsed="false">
      <c r="A70" s="0" t="n">
        <v>67</v>
      </c>
      <c r="B70" s="0" t="s">
        <v>28</v>
      </c>
      <c r="C70" s="5" t="n">
        <v>46068</v>
      </c>
      <c r="D70" s="3" t="s">
        <v>440</v>
      </c>
      <c r="E70" s="3" t="s">
        <v>30</v>
      </c>
      <c r="F70" s="3" t="s">
        <v>31</v>
      </c>
      <c r="G70" s="3" t="s">
        <v>106</v>
      </c>
      <c r="H70" s="0" t="n">
        <v>193</v>
      </c>
      <c r="I70" s="0" t="n">
        <v>710.33</v>
      </c>
      <c r="J70" s="0" t="n">
        <v>710.49</v>
      </c>
      <c r="K70" s="0" t="n">
        <v>710.49</v>
      </c>
      <c r="L70" s="3" t="s">
        <v>39</v>
      </c>
    </row>
    <row r="71" customFormat="false" ht="15" hidden="false" customHeight="false" outlineLevel="0" collapsed="false">
      <c r="A71" s="0" t="n">
        <v>68</v>
      </c>
      <c r="B71" s="0" t="s">
        <v>48</v>
      </c>
      <c r="C71" s="5" t="n">
        <v>46068</v>
      </c>
      <c r="D71" s="3" t="s">
        <v>445</v>
      </c>
      <c r="E71" s="3" t="s">
        <v>30</v>
      </c>
      <c r="F71" s="3" t="s">
        <v>31</v>
      </c>
      <c r="G71" s="3" t="s">
        <v>50</v>
      </c>
      <c r="H71" s="0" t="n">
        <v>212</v>
      </c>
      <c r="I71" s="0" t="n">
        <v>1703.11</v>
      </c>
      <c r="J71" s="0" t="n">
        <v>1703.34</v>
      </c>
      <c r="K71" s="0" t="n">
        <v>1703.34</v>
      </c>
      <c r="L71" s="3" t="s">
        <v>39</v>
      </c>
    </row>
    <row r="72" customFormat="false" ht="15" hidden="false" customHeight="false" outlineLevel="0" collapsed="false">
      <c r="A72" s="0" t="n">
        <v>69</v>
      </c>
      <c r="B72" s="0" t="s">
        <v>48</v>
      </c>
      <c r="C72" s="5" t="n">
        <v>46068</v>
      </c>
      <c r="D72" s="3" t="s">
        <v>450</v>
      </c>
      <c r="E72" s="3" t="s">
        <v>30</v>
      </c>
      <c r="F72" s="3" t="s">
        <v>31</v>
      </c>
      <c r="G72" s="3" t="s">
        <v>32</v>
      </c>
      <c r="H72" s="0" t="n">
        <v>76</v>
      </c>
      <c r="I72" s="0" t="n">
        <v>978.56</v>
      </c>
      <c r="J72" s="0" t="n">
        <v>978.59</v>
      </c>
      <c r="K72" s="0" t="n">
        <v>978.59</v>
      </c>
      <c r="L72" s="3" t="s">
        <v>39</v>
      </c>
    </row>
    <row r="73" customFormat="false" ht="15" hidden="false" customHeight="false" outlineLevel="0" collapsed="false">
      <c r="A73" s="0" t="n">
        <v>70</v>
      </c>
      <c r="B73" s="0" t="s">
        <v>48</v>
      </c>
      <c r="C73" s="5" t="n">
        <v>46068</v>
      </c>
      <c r="D73" s="3" t="s">
        <v>454</v>
      </c>
      <c r="E73" s="3" t="s">
        <v>30</v>
      </c>
      <c r="F73" s="3" t="s">
        <v>31</v>
      </c>
      <c r="G73" s="3" t="s">
        <v>58</v>
      </c>
      <c r="H73" s="0" t="n">
        <v>155</v>
      </c>
      <c r="I73" s="0" t="n">
        <v>1921.53</v>
      </c>
      <c r="J73" s="0" t="n">
        <v>2882.63</v>
      </c>
      <c r="K73" s="0" t="n">
        <v>2882.63</v>
      </c>
      <c r="L73" s="3" t="s">
        <v>243</v>
      </c>
    </row>
    <row r="74" customFormat="false" ht="15" hidden="false" customHeight="false" outlineLevel="0" collapsed="false">
      <c r="A74" s="0" t="n">
        <v>71</v>
      </c>
      <c r="B74" s="0" t="s">
        <v>48</v>
      </c>
      <c r="C74" s="5" t="n">
        <v>46068</v>
      </c>
      <c r="D74" s="3" t="s">
        <v>460</v>
      </c>
      <c r="E74" s="3" t="s">
        <v>30</v>
      </c>
      <c r="F74" s="3" t="s">
        <v>31</v>
      </c>
      <c r="G74" s="3" t="s">
        <v>58</v>
      </c>
      <c r="H74" s="0" t="n">
        <v>195</v>
      </c>
      <c r="I74" s="0" t="n">
        <v>1908.13</v>
      </c>
      <c r="J74" s="0" t="n">
        <v>1908.19</v>
      </c>
      <c r="K74" s="0" t="n">
        <v>1908.19</v>
      </c>
      <c r="L74" s="3" t="s">
        <v>39</v>
      </c>
    </row>
    <row r="75" customFormat="false" ht="15" hidden="false" customHeight="false" outlineLevel="0" collapsed="false">
      <c r="A75" s="0" t="n">
        <v>72</v>
      </c>
      <c r="B75" s="0" t="s">
        <v>48</v>
      </c>
      <c r="C75" s="5" t="n">
        <v>46068</v>
      </c>
      <c r="D75" s="3" t="s">
        <v>465</v>
      </c>
      <c r="E75" s="3" t="s">
        <v>30</v>
      </c>
      <c r="F75" s="3" t="s">
        <v>31</v>
      </c>
      <c r="G75" s="3" t="s">
        <v>106</v>
      </c>
      <c r="H75" s="0" t="n">
        <v>124</v>
      </c>
      <c r="I75" s="0" t="n">
        <v>772.34</v>
      </c>
      <c r="J75" s="0" t="n">
        <v>1004.33</v>
      </c>
      <c r="K75" s="0" t="n">
        <v>1004.33</v>
      </c>
      <c r="L75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4" t="s">
        <v>486</v>
      </c>
    </row>
    <row r="2" customFormat="false" ht="15" hidden="false" customHeight="false" outlineLevel="0" collapsed="false">
      <c r="H2" s="0" t="s">
        <v>489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500</v>
      </c>
      <c r="D3" s="1" t="s">
        <v>7</v>
      </c>
      <c r="E3" s="1" t="s">
        <v>501</v>
      </c>
      <c r="F3" s="1" t="s">
        <v>502</v>
      </c>
      <c r="G3" s="1" t="s">
        <v>503</v>
      </c>
      <c r="H3" s="1" t="s">
        <v>17</v>
      </c>
      <c r="I3" s="1" t="s">
        <v>18</v>
      </c>
      <c r="J3" s="1" t="s">
        <v>504</v>
      </c>
      <c r="K3" s="1" t="s">
        <v>505</v>
      </c>
      <c r="L3" s="1" t="s">
        <v>506</v>
      </c>
      <c r="M3" s="1" t="s">
        <v>507</v>
      </c>
      <c r="N3" s="1" t="s">
        <v>20</v>
      </c>
    </row>
    <row r="4" customFormat="false" ht="15" hidden="false" customHeight="false" outlineLevel="0" collapsed="false">
      <c r="A4" s="0" t="s">
        <v>28</v>
      </c>
      <c r="B4" s="5" t="n">
        <v>46054</v>
      </c>
      <c r="C4" s="3" t="s">
        <v>29</v>
      </c>
      <c r="D4" s="0" t="n">
        <v>131</v>
      </c>
      <c r="E4" s="0" t="n">
        <v>632.99</v>
      </c>
      <c r="F4" s="5" t="n">
        <v>46052</v>
      </c>
      <c r="G4" s="3" t="s">
        <v>35</v>
      </c>
      <c r="H4" s="5" t="n">
        <v>46054</v>
      </c>
      <c r="I4" s="3" t="s">
        <v>37</v>
      </c>
      <c r="J4" s="0" t="n">
        <v>3</v>
      </c>
      <c r="K4" s="0" t="n">
        <v>2</v>
      </c>
      <c r="L4" s="6" t="n">
        <f aca="false">E4*J4*K4</f>
        <v>3797.94</v>
      </c>
      <c r="M4" s="6" t="n">
        <f aca="false">L4*1.18</f>
        <v>4481.5692</v>
      </c>
      <c r="N4" s="3" t="s">
        <v>39</v>
      </c>
    </row>
    <row r="5" customFormat="false" ht="15" hidden="false" customHeight="false" outlineLevel="0" collapsed="false">
      <c r="A5" s="0" t="s">
        <v>48</v>
      </c>
      <c r="B5" s="5" t="n">
        <v>46054</v>
      </c>
      <c r="C5" s="3" t="s">
        <v>49</v>
      </c>
      <c r="D5" s="0" t="n">
        <v>10</v>
      </c>
      <c r="E5" s="0" t="n">
        <v>2947.58</v>
      </c>
      <c r="F5" s="5" t="n">
        <v>46054</v>
      </c>
      <c r="G5" s="3" t="s">
        <v>53</v>
      </c>
      <c r="H5" s="5" t="n">
        <v>46054</v>
      </c>
      <c r="I5" s="3" t="s">
        <v>55</v>
      </c>
      <c r="J5" s="0" t="n">
        <v>3</v>
      </c>
      <c r="K5" s="0" t="n">
        <v>2</v>
      </c>
      <c r="L5" s="6" t="n">
        <f aca="false">E5*J5*K5</f>
        <v>17685.48</v>
      </c>
      <c r="M5" s="6" t="n">
        <f aca="false">L5*1.18</f>
        <v>20868.8664</v>
      </c>
      <c r="N5" s="3" t="s">
        <v>39</v>
      </c>
    </row>
    <row r="6" customFormat="false" ht="15" hidden="false" customHeight="false" outlineLevel="0" collapsed="false">
      <c r="A6" s="0" t="s">
        <v>48</v>
      </c>
      <c r="B6" s="5" t="n">
        <v>46054</v>
      </c>
      <c r="C6" s="3" t="s">
        <v>57</v>
      </c>
      <c r="D6" s="0" t="n">
        <v>120</v>
      </c>
      <c r="E6" s="0" t="n">
        <v>2000.81</v>
      </c>
      <c r="F6" s="5" t="n">
        <v>46053</v>
      </c>
      <c r="G6" s="3" t="s">
        <v>61</v>
      </c>
      <c r="H6" s="5" t="n">
        <v>46054</v>
      </c>
      <c r="I6" s="3" t="s">
        <v>63</v>
      </c>
      <c r="J6" s="0" t="n">
        <v>12</v>
      </c>
      <c r="K6" s="0" t="n">
        <v>1</v>
      </c>
      <c r="L6" s="6" t="n">
        <f aca="false">E6*J6*K6</f>
        <v>24009.72</v>
      </c>
      <c r="M6" s="6" t="n">
        <f aca="false">L6*1.18</f>
        <v>28331.4696</v>
      </c>
      <c r="N6" s="3" t="s">
        <v>65</v>
      </c>
    </row>
    <row r="7" customFormat="false" ht="15" hidden="false" customHeight="false" outlineLevel="0" collapsed="false">
      <c r="A7" s="0" t="s">
        <v>48</v>
      </c>
      <c r="B7" s="5" t="n">
        <v>46055</v>
      </c>
      <c r="C7" s="3" t="s">
        <v>82</v>
      </c>
      <c r="D7" s="0" t="n">
        <v>186</v>
      </c>
      <c r="E7" s="0" t="n">
        <v>1914.14</v>
      </c>
      <c r="F7" s="5" t="n">
        <v>46054</v>
      </c>
      <c r="G7" s="3" t="s">
        <v>85</v>
      </c>
      <c r="H7" s="5" t="n">
        <v>46055</v>
      </c>
      <c r="I7" s="3" t="s">
        <v>87</v>
      </c>
      <c r="J7" s="0" t="n">
        <v>12</v>
      </c>
      <c r="K7" s="0" t="n">
        <v>4</v>
      </c>
      <c r="L7" s="6" t="n">
        <f aca="false">E7*J7*K7</f>
        <v>91878.72</v>
      </c>
      <c r="M7" s="6" t="n">
        <f aca="false">L7*1.18</f>
        <v>108416.8896</v>
      </c>
      <c r="N7" s="3" t="s">
        <v>89</v>
      </c>
    </row>
    <row r="8" customFormat="false" ht="15" hidden="false" customHeight="false" outlineLevel="0" collapsed="false">
      <c r="A8" s="0" t="s">
        <v>28</v>
      </c>
      <c r="B8" s="5" t="n">
        <v>46056</v>
      </c>
      <c r="C8" s="3" t="s">
        <v>97</v>
      </c>
      <c r="D8" s="0" t="n">
        <v>184</v>
      </c>
      <c r="E8" s="0" t="n">
        <v>3991.04</v>
      </c>
      <c r="F8" s="5" t="n">
        <v>46054</v>
      </c>
      <c r="G8" s="3" t="s">
        <v>101</v>
      </c>
      <c r="H8" s="5" t="n">
        <v>46056</v>
      </c>
      <c r="I8" s="3" t="s">
        <v>103</v>
      </c>
      <c r="J8" s="0" t="n">
        <v>3</v>
      </c>
      <c r="K8" s="0" t="n">
        <v>2</v>
      </c>
      <c r="L8" s="6" t="n">
        <f aca="false">E8*J8*K8</f>
        <v>23946.24</v>
      </c>
      <c r="M8" s="6" t="n">
        <f aca="false">L8*1.18</f>
        <v>28256.5632</v>
      </c>
      <c r="N8" s="3" t="s">
        <v>39</v>
      </c>
    </row>
    <row r="9" customFormat="false" ht="15" hidden="false" customHeight="false" outlineLevel="0" collapsed="false">
      <c r="A9" s="0" t="s">
        <v>28</v>
      </c>
      <c r="B9" s="5" t="n">
        <v>46056</v>
      </c>
      <c r="C9" s="3" t="s">
        <v>105</v>
      </c>
      <c r="D9" s="0" t="n">
        <v>143</v>
      </c>
      <c r="E9" s="0" t="n">
        <v>1064.59</v>
      </c>
      <c r="F9" s="5" t="n">
        <v>46054</v>
      </c>
      <c r="G9" s="3" t="s">
        <v>55</v>
      </c>
      <c r="H9" s="5" t="n">
        <v>46056</v>
      </c>
      <c r="I9" s="3" t="s">
        <v>110</v>
      </c>
      <c r="J9" s="0" t="n">
        <v>3</v>
      </c>
      <c r="K9" s="0" t="n">
        <v>3</v>
      </c>
      <c r="L9" s="6" t="n">
        <f aca="false">E9*J9*K9</f>
        <v>9581.31</v>
      </c>
      <c r="M9" s="6" t="n">
        <f aca="false">L9*1.18</f>
        <v>11305.9458</v>
      </c>
      <c r="N9" s="3" t="s">
        <v>39</v>
      </c>
    </row>
    <row r="10" customFormat="false" ht="15" hidden="false" customHeight="false" outlineLevel="0" collapsed="false">
      <c r="A10" s="0" t="s">
        <v>28</v>
      </c>
      <c r="B10" s="5" t="n">
        <v>46056</v>
      </c>
      <c r="C10" s="3" t="s">
        <v>112</v>
      </c>
      <c r="D10" s="0" t="n">
        <v>216</v>
      </c>
      <c r="E10" s="0" t="n">
        <v>2057.24</v>
      </c>
      <c r="F10" s="5" t="n">
        <v>46056</v>
      </c>
      <c r="G10" s="3" t="s">
        <v>115</v>
      </c>
      <c r="H10" s="5" t="n">
        <v>46056</v>
      </c>
      <c r="I10" s="3" t="s">
        <v>117</v>
      </c>
      <c r="J10" s="0" t="n">
        <v>3</v>
      </c>
      <c r="K10" s="0" t="n">
        <v>1</v>
      </c>
      <c r="L10" s="6" t="n">
        <f aca="false">E10*J10*K10</f>
        <v>6171.72</v>
      </c>
      <c r="M10" s="6" t="n">
        <f aca="false">L10*1.18</f>
        <v>7282.6296</v>
      </c>
      <c r="N10" s="3" t="s">
        <v>39</v>
      </c>
    </row>
    <row r="11" customFormat="false" ht="15" hidden="false" customHeight="false" outlineLevel="0" collapsed="false">
      <c r="A11" s="0" t="s">
        <v>48</v>
      </c>
      <c r="B11" s="5" t="n">
        <v>46056</v>
      </c>
      <c r="C11" s="3" t="s">
        <v>118</v>
      </c>
      <c r="D11" s="0" t="n">
        <v>21</v>
      </c>
      <c r="E11" s="0" t="n">
        <v>2136.46</v>
      </c>
      <c r="F11" s="5" t="n">
        <v>46053</v>
      </c>
      <c r="G11" s="3" t="s">
        <v>121</v>
      </c>
      <c r="H11" s="5" t="n">
        <v>46056</v>
      </c>
      <c r="I11" s="3" t="s">
        <v>123</v>
      </c>
      <c r="J11" s="0" t="n">
        <v>3</v>
      </c>
      <c r="K11" s="0" t="n">
        <v>1</v>
      </c>
      <c r="L11" s="6" t="n">
        <f aca="false">E11*J11*K11</f>
        <v>6409.38</v>
      </c>
      <c r="M11" s="6" t="n">
        <f aca="false">L11*1.18</f>
        <v>7563.0684</v>
      </c>
      <c r="N11" s="3" t="s">
        <v>39</v>
      </c>
    </row>
    <row r="12" customFormat="false" ht="15" hidden="false" customHeight="false" outlineLevel="0" collapsed="false">
      <c r="A12" s="0" t="s">
        <v>48</v>
      </c>
      <c r="B12" s="5" t="n">
        <v>46056</v>
      </c>
      <c r="C12" s="3" t="s">
        <v>125</v>
      </c>
      <c r="D12" s="0" t="n">
        <v>135</v>
      </c>
      <c r="E12" s="0" t="n">
        <v>1128.58</v>
      </c>
      <c r="F12" s="5" t="n">
        <v>46055</v>
      </c>
      <c r="G12" s="3" t="s">
        <v>128</v>
      </c>
      <c r="H12" s="5" t="n">
        <v>46056</v>
      </c>
      <c r="I12" s="3" t="s">
        <v>130</v>
      </c>
      <c r="J12" s="0" t="n">
        <v>3</v>
      </c>
      <c r="K12" s="0" t="n">
        <v>2</v>
      </c>
      <c r="L12" s="6" t="n">
        <f aca="false">E12*J12*K12</f>
        <v>6771.48</v>
      </c>
      <c r="M12" s="6" t="n">
        <f aca="false">L12*1.18</f>
        <v>7990.3464</v>
      </c>
      <c r="N12" s="3" t="s">
        <v>39</v>
      </c>
    </row>
    <row r="13" customFormat="false" ht="15" hidden="false" customHeight="false" outlineLevel="0" collapsed="false">
      <c r="A13" s="0" t="s">
        <v>28</v>
      </c>
      <c r="B13" s="5" t="n">
        <v>46057</v>
      </c>
      <c r="C13" s="3" t="s">
        <v>132</v>
      </c>
      <c r="D13" s="0" t="n">
        <v>156</v>
      </c>
      <c r="E13" s="0" t="n">
        <v>2633.72</v>
      </c>
      <c r="F13" s="5" t="n">
        <v>46055</v>
      </c>
      <c r="G13" s="3" t="s">
        <v>135</v>
      </c>
      <c r="H13" s="5" t="n">
        <v>46057</v>
      </c>
      <c r="I13" s="3" t="s">
        <v>137</v>
      </c>
      <c r="J13" s="0" t="n">
        <v>3</v>
      </c>
      <c r="K13" s="0" t="n">
        <v>2</v>
      </c>
      <c r="L13" s="6" t="n">
        <f aca="false">E13*J13*K13</f>
        <v>15802.32</v>
      </c>
      <c r="M13" s="6" t="n">
        <f aca="false">L13*1.18</f>
        <v>18646.7376</v>
      </c>
      <c r="N13" s="3" t="s">
        <v>138</v>
      </c>
    </row>
    <row r="14" customFormat="false" ht="15" hidden="false" customHeight="false" outlineLevel="0" collapsed="false">
      <c r="A14" s="0" t="s">
        <v>28</v>
      </c>
      <c r="B14" s="5" t="n">
        <v>46057</v>
      </c>
      <c r="C14" s="3" t="s">
        <v>139</v>
      </c>
      <c r="D14" s="0" t="n">
        <v>6</v>
      </c>
      <c r="E14" s="0" t="n">
        <v>2591.12</v>
      </c>
      <c r="F14" s="5" t="n">
        <v>46056</v>
      </c>
      <c r="G14" s="3" t="s">
        <v>143</v>
      </c>
      <c r="H14" s="5" t="n">
        <v>46057</v>
      </c>
      <c r="I14" s="3" t="s">
        <v>145</v>
      </c>
      <c r="J14" s="0" t="n">
        <v>3</v>
      </c>
      <c r="K14" s="0" t="n">
        <v>2</v>
      </c>
      <c r="L14" s="6" t="n">
        <f aca="false">E14*J14*K14</f>
        <v>15546.72</v>
      </c>
      <c r="M14" s="6" t="n">
        <f aca="false">L14*1.18</f>
        <v>18345.1296</v>
      </c>
      <c r="N14" s="3" t="s">
        <v>39</v>
      </c>
    </row>
    <row r="15" customFormat="false" ht="15" hidden="false" customHeight="false" outlineLevel="0" collapsed="false">
      <c r="A15" s="0" t="s">
        <v>48</v>
      </c>
      <c r="B15" s="5" t="n">
        <v>46057</v>
      </c>
      <c r="C15" s="3" t="s">
        <v>147</v>
      </c>
      <c r="D15" s="0" t="n">
        <v>37</v>
      </c>
      <c r="E15" s="0" t="n">
        <v>2472.88</v>
      </c>
      <c r="F15" s="5" t="n">
        <v>46055</v>
      </c>
      <c r="G15" s="3" t="s">
        <v>150</v>
      </c>
      <c r="H15" s="5" t="n">
        <v>46057</v>
      </c>
      <c r="I15" s="3" t="s">
        <v>152</v>
      </c>
      <c r="J15" s="0" t="n">
        <v>3</v>
      </c>
      <c r="K15" s="0" t="n">
        <v>1</v>
      </c>
      <c r="L15" s="6" t="n">
        <f aca="false">E15*J15*K15</f>
        <v>7418.64</v>
      </c>
      <c r="M15" s="6" t="n">
        <f aca="false">L15*1.18</f>
        <v>8753.9952</v>
      </c>
      <c r="N15" s="3" t="s">
        <v>39</v>
      </c>
    </row>
    <row r="16" customFormat="false" ht="15" hidden="false" customHeight="false" outlineLevel="0" collapsed="false">
      <c r="A16" s="0" t="s">
        <v>28</v>
      </c>
      <c r="B16" s="5" t="n">
        <v>46058</v>
      </c>
      <c r="C16" s="3" t="s">
        <v>154</v>
      </c>
      <c r="D16" s="0" t="n">
        <v>130</v>
      </c>
      <c r="E16" s="0" t="n">
        <v>3496.72</v>
      </c>
      <c r="F16" s="5" t="n">
        <v>46055</v>
      </c>
      <c r="G16" s="3" t="s">
        <v>157</v>
      </c>
      <c r="H16" s="5" t="n">
        <v>46058</v>
      </c>
      <c r="I16" s="3" t="s">
        <v>137</v>
      </c>
      <c r="J16" s="0" t="n">
        <v>3</v>
      </c>
      <c r="K16" s="0" t="n">
        <v>2</v>
      </c>
      <c r="L16" s="6" t="n">
        <f aca="false">E16*J16*K16</f>
        <v>20980.32</v>
      </c>
      <c r="M16" s="6" t="n">
        <f aca="false">L16*1.18</f>
        <v>24756.7776</v>
      </c>
      <c r="N16" s="3" t="s">
        <v>39</v>
      </c>
    </row>
    <row r="17" customFormat="false" ht="15" hidden="false" customHeight="false" outlineLevel="0" collapsed="false">
      <c r="A17" s="0" t="s">
        <v>48</v>
      </c>
      <c r="B17" s="5" t="n">
        <v>46058</v>
      </c>
      <c r="C17" s="3" t="s">
        <v>166</v>
      </c>
      <c r="D17" s="0" t="n">
        <v>139</v>
      </c>
      <c r="E17" s="0" t="n">
        <v>36.36</v>
      </c>
      <c r="F17" s="5" t="n">
        <v>46056</v>
      </c>
      <c r="G17" s="3" t="s">
        <v>169</v>
      </c>
      <c r="H17" s="5" t="n">
        <v>46058</v>
      </c>
      <c r="I17" s="3" t="s">
        <v>171</v>
      </c>
      <c r="J17" s="0" t="n">
        <v>3</v>
      </c>
      <c r="K17" s="0" t="n">
        <v>1</v>
      </c>
      <c r="L17" s="6" t="n">
        <f aca="false">E17*J17*K17</f>
        <v>109.08</v>
      </c>
      <c r="M17" s="6" t="n">
        <f aca="false">L17*1.18</f>
        <v>128.7144</v>
      </c>
      <c r="N17" s="3" t="s">
        <v>39</v>
      </c>
    </row>
    <row r="18" customFormat="false" ht="15" hidden="false" customHeight="false" outlineLevel="0" collapsed="false">
      <c r="A18" s="0" t="s">
        <v>28</v>
      </c>
      <c r="B18" s="5" t="n">
        <v>46059</v>
      </c>
      <c r="C18" s="3" t="s">
        <v>178</v>
      </c>
      <c r="D18" s="0" t="n">
        <v>25</v>
      </c>
      <c r="E18" s="0" t="n">
        <v>542.89</v>
      </c>
      <c r="F18" s="5" t="n">
        <v>46057</v>
      </c>
      <c r="G18" s="3" t="s">
        <v>107</v>
      </c>
      <c r="H18" s="5" t="n">
        <v>46059</v>
      </c>
      <c r="I18" s="3" t="s">
        <v>182</v>
      </c>
      <c r="J18" s="0" t="n">
        <v>5</v>
      </c>
      <c r="K18" s="0" t="n">
        <v>1</v>
      </c>
      <c r="L18" s="6" t="n">
        <f aca="false">E18*J18*K18</f>
        <v>2714.45</v>
      </c>
      <c r="M18" s="6" t="n">
        <f aca="false">L18*1.18</f>
        <v>3203.051</v>
      </c>
      <c r="N18" s="3" t="s">
        <v>183</v>
      </c>
    </row>
    <row r="19" customFormat="false" ht="15" hidden="false" customHeight="false" outlineLevel="0" collapsed="false">
      <c r="A19" s="0" t="s">
        <v>28</v>
      </c>
      <c r="B19" s="5" t="n">
        <v>46059</v>
      </c>
      <c r="C19" s="3" t="s">
        <v>190</v>
      </c>
      <c r="D19" s="0" t="n">
        <v>176</v>
      </c>
      <c r="E19" s="0" t="n">
        <v>2946.33</v>
      </c>
      <c r="F19" s="5" t="n">
        <v>46057</v>
      </c>
      <c r="G19" s="3" t="s">
        <v>193</v>
      </c>
      <c r="H19" s="5" t="n">
        <v>46059</v>
      </c>
      <c r="I19" s="3" t="s">
        <v>195</v>
      </c>
      <c r="J19" s="0" t="n">
        <v>3</v>
      </c>
      <c r="K19" s="0" t="n">
        <v>1</v>
      </c>
      <c r="L19" s="6" t="n">
        <f aca="false">E19*J19*K19</f>
        <v>8838.99</v>
      </c>
      <c r="M19" s="6" t="n">
        <f aca="false">L19*1.18</f>
        <v>10430.0082</v>
      </c>
      <c r="N19" s="3" t="s">
        <v>39</v>
      </c>
    </row>
    <row r="20" customFormat="false" ht="15" hidden="false" customHeight="false" outlineLevel="0" collapsed="false">
      <c r="A20" s="0" t="s">
        <v>28</v>
      </c>
      <c r="B20" s="5" t="n">
        <v>46060</v>
      </c>
      <c r="C20" s="3" t="s">
        <v>196</v>
      </c>
      <c r="D20" s="0" t="n">
        <v>35</v>
      </c>
      <c r="E20" s="0" t="n">
        <v>2445.3</v>
      </c>
      <c r="F20" s="5" t="n">
        <v>46057</v>
      </c>
      <c r="G20" s="3" t="s">
        <v>198</v>
      </c>
      <c r="H20" s="5" t="n">
        <v>46060</v>
      </c>
      <c r="I20" s="3" t="s">
        <v>200</v>
      </c>
      <c r="J20" s="0" t="n">
        <v>3</v>
      </c>
      <c r="K20" s="0" t="n">
        <v>1</v>
      </c>
      <c r="L20" s="6" t="n">
        <f aca="false">E20*J20*K20</f>
        <v>7335.9</v>
      </c>
      <c r="M20" s="6" t="n">
        <f aca="false">L20*1.18</f>
        <v>8656.362</v>
      </c>
      <c r="N20" s="3" t="s">
        <v>138</v>
      </c>
    </row>
    <row r="21" customFormat="false" ht="15" hidden="false" customHeight="false" outlineLevel="0" collapsed="false">
      <c r="A21" s="0" t="s">
        <v>28</v>
      </c>
      <c r="B21" s="5" t="n">
        <v>46060</v>
      </c>
      <c r="C21" s="3" t="s">
        <v>202</v>
      </c>
      <c r="D21" s="0" t="n">
        <v>182</v>
      </c>
      <c r="E21" s="0" t="n">
        <v>355.43</v>
      </c>
      <c r="F21" s="5" t="n">
        <v>46059</v>
      </c>
      <c r="G21" s="3" t="s">
        <v>205</v>
      </c>
      <c r="H21" s="5" t="n">
        <v>46060</v>
      </c>
      <c r="I21" s="3" t="s">
        <v>207</v>
      </c>
      <c r="J21" s="0" t="n">
        <v>3</v>
      </c>
      <c r="K21" s="0" t="n">
        <v>1</v>
      </c>
      <c r="L21" s="6" t="n">
        <f aca="false">E21*J21*K21</f>
        <v>1066.29</v>
      </c>
      <c r="M21" s="6" t="n">
        <f aca="false">L21*1.18</f>
        <v>1258.2222</v>
      </c>
      <c r="N21" s="3" t="s">
        <v>39</v>
      </c>
    </row>
    <row r="22" customFormat="false" ht="15" hidden="false" customHeight="false" outlineLevel="0" collapsed="false">
      <c r="A22" s="0" t="s">
        <v>28</v>
      </c>
      <c r="B22" s="5" t="n">
        <v>46060</v>
      </c>
      <c r="C22" s="3" t="s">
        <v>209</v>
      </c>
      <c r="D22" s="0" t="n">
        <v>183</v>
      </c>
      <c r="E22" s="0" t="n">
        <v>857.74</v>
      </c>
      <c r="F22" s="5" t="n">
        <v>46059</v>
      </c>
      <c r="G22" s="3" t="s">
        <v>211</v>
      </c>
      <c r="H22" s="5" t="n">
        <v>46060</v>
      </c>
      <c r="I22" s="3" t="s">
        <v>213</v>
      </c>
      <c r="J22" s="0" t="n">
        <v>3</v>
      </c>
      <c r="K22" s="0" t="n">
        <v>4</v>
      </c>
      <c r="L22" s="6" t="n">
        <f aca="false">E22*J22*K22</f>
        <v>10292.88</v>
      </c>
      <c r="M22" s="6" t="n">
        <f aca="false">L22*1.18</f>
        <v>12145.5984</v>
      </c>
      <c r="N22" s="3" t="s">
        <v>138</v>
      </c>
    </row>
    <row r="23" customFormat="false" ht="15" hidden="false" customHeight="false" outlineLevel="0" collapsed="false">
      <c r="A23" s="0" t="s">
        <v>48</v>
      </c>
      <c r="B23" s="5" t="n">
        <v>46060</v>
      </c>
      <c r="C23" s="3" t="s">
        <v>226</v>
      </c>
      <c r="D23" s="0" t="n">
        <v>100</v>
      </c>
      <c r="E23" s="0" t="n">
        <v>2419.36</v>
      </c>
      <c r="F23" s="5" t="n">
        <v>46057</v>
      </c>
      <c r="G23" s="3" t="s">
        <v>229</v>
      </c>
      <c r="H23" s="5" t="n">
        <v>46060</v>
      </c>
      <c r="I23" s="3" t="s">
        <v>231</v>
      </c>
      <c r="J23" s="0" t="n">
        <v>3</v>
      </c>
      <c r="K23" s="0" t="n">
        <v>4</v>
      </c>
      <c r="L23" s="6" t="n">
        <f aca="false">E23*J23*K23</f>
        <v>29032.32</v>
      </c>
      <c r="M23" s="6" t="n">
        <f aca="false">L23*1.18</f>
        <v>34258.1376</v>
      </c>
      <c r="N23" s="3" t="s">
        <v>39</v>
      </c>
    </row>
    <row r="24" customFormat="false" ht="15" hidden="false" customHeight="false" outlineLevel="0" collapsed="false">
      <c r="A24" s="0" t="s">
        <v>28</v>
      </c>
      <c r="B24" s="5" t="n">
        <v>46061</v>
      </c>
      <c r="C24" s="3" t="s">
        <v>232</v>
      </c>
      <c r="D24" s="0" t="n">
        <v>182</v>
      </c>
      <c r="E24" s="0" t="n">
        <v>3424.41</v>
      </c>
      <c r="F24" s="5" t="n">
        <v>46059</v>
      </c>
      <c r="G24" s="3" t="s">
        <v>149</v>
      </c>
      <c r="H24" s="5" t="n">
        <v>46061</v>
      </c>
      <c r="I24" s="3" t="s">
        <v>236</v>
      </c>
      <c r="J24" s="0" t="n">
        <v>3</v>
      </c>
      <c r="K24" s="0" t="n">
        <v>3</v>
      </c>
      <c r="L24" s="6" t="n">
        <f aca="false">E24*J24*K24</f>
        <v>30819.69</v>
      </c>
      <c r="M24" s="6" t="n">
        <f aca="false">L24*1.18</f>
        <v>36367.2342</v>
      </c>
      <c r="N24" s="3" t="s">
        <v>138</v>
      </c>
    </row>
    <row r="25" customFormat="false" ht="15" hidden="false" customHeight="false" outlineLevel="0" collapsed="false">
      <c r="A25" s="0" t="s">
        <v>28</v>
      </c>
      <c r="B25" s="5" t="n">
        <v>46061</v>
      </c>
      <c r="C25" s="3" t="s">
        <v>237</v>
      </c>
      <c r="D25" s="0" t="n">
        <v>161</v>
      </c>
      <c r="E25" s="0" t="n">
        <v>1508.15</v>
      </c>
      <c r="F25" s="5" t="n">
        <v>46058</v>
      </c>
      <c r="G25" s="3" t="s">
        <v>240</v>
      </c>
      <c r="H25" s="5" t="n">
        <v>46061</v>
      </c>
      <c r="I25" s="3" t="s">
        <v>242</v>
      </c>
      <c r="J25" s="0" t="n">
        <v>5</v>
      </c>
      <c r="K25" s="0" t="n">
        <v>4</v>
      </c>
      <c r="L25" s="6" t="n">
        <f aca="false">E25*J25*K25</f>
        <v>30163</v>
      </c>
      <c r="M25" s="6" t="n">
        <f aca="false">L25*1.18</f>
        <v>35592.34</v>
      </c>
      <c r="N25" s="3" t="s">
        <v>243</v>
      </c>
    </row>
    <row r="26" customFormat="false" ht="15" hidden="false" customHeight="false" outlineLevel="0" collapsed="false">
      <c r="A26" s="0" t="s">
        <v>28</v>
      </c>
      <c r="B26" s="5" t="n">
        <v>46061</v>
      </c>
      <c r="C26" s="3" t="s">
        <v>250</v>
      </c>
      <c r="D26" s="0" t="n">
        <v>100</v>
      </c>
      <c r="E26" s="0" t="n">
        <v>2675.15</v>
      </c>
      <c r="F26" s="5" t="n">
        <v>46060</v>
      </c>
      <c r="G26" s="3" t="s">
        <v>253</v>
      </c>
      <c r="H26" s="5" t="n">
        <v>46061</v>
      </c>
      <c r="I26" s="3" t="s">
        <v>255</v>
      </c>
      <c r="J26" s="0" t="n">
        <v>3</v>
      </c>
      <c r="K26" s="0" t="n">
        <v>2</v>
      </c>
      <c r="L26" s="6" t="n">
        <f aca="false">E26*J26*K26</f>
        <v>16050.9</v>
      </c>
      <c r="M26" s="6" t="n">
        <f aca="false">L26*1.18</f>
        <v>18940.062</v>
      </c>
      <c r="N26" s="3" t="s">
        <v>39</v>
      </c>
    </row>
    <row r="27" customFormat="false" ht="15" hidden="false" customHeight="false" outlineLevel="0" collapsed="false">
      <c r="A27" s="0" t="s">
        <v>28</v>
      </c>
      <c r="B27" s="5" t="n">
        <v>46061</v>
      </c>
      <c r="C27" s="3" t="s">
        <v>256</v>
      </c>
      <c r="D27" s="0" t="n">
        <v>4</v>
      </c>
      <c r="E27" s="0" t="n">
        <v>2591.98</v>
      </c>
      <c r="F27" s="5" t="n">
        <v>46059</v>
      </c>
      <c r="G27" s="3" t="s">
        <v>259</v>
      </c>
      <c r="H27" s="5" t="n">
        <v>46061</v>
      </c>
      <c r="I27" s="3" t="s">
        <v>261</v>
      </c>
      <c r="J27" s="0" t="n">
        <v>12</v>
      </c>
      <c r="K27" s="0" t="n">
        <v>2</v>
      </c>
      <c r="L27" s="6" t="n">
        <f aca="false">E27*J27*K27</f>
        <v>62207.52</v>
      </c>
      <c r="M27" s="6" t="n">
        <f aca="false">L27*1.18</f>
        <v>73404.8736</v>
      </c>
      <c r="N27" s="3" t="s">
        <v>65</v>
      </c>
    </row>
    <row r="28" customFormat="false" ht="15" hidden="false" customHeight="false" outlineLevel="0" collapsed="false">
      <c r="A28" s="0" t="s">
        <v>28</v>
      </c>
      <c r="B28" s="5" t="n">
        <v>46061</v>
      </c>
      <c r="C28" s="3" t="s">
        <v>267</v>
      </c>
      <c r="D28" s="0" t="n">
        <v>53</v>
      </c>
      <c r="E28" s="0" t="n">
        <v>2614.53</v>
      </c>
      <c r="F28" s="5" t="n">
        <v>46058</v>
      </c>
      <c r="G28" s="3" t="s">
        <v>270</v>
      </c>
      <c r="H28" s="5" t="n">
        <v>46061</v>
      </c>
      <c r="I28" s="3" t="s">
        <v>272</v>
      </c>
      <c r="J28" s="0" t="n">
        <v>3</v>
      </c>
      <c r="K28" s="0" t="n">
        <v>1</v>
      </c>
      <c r="L28" s="6" t="n">
        <f aca="false">E28*J28*K28</f>
        <v>7843.59</v>
      </c>
      <c r="M28" s="6" t="n">
        <f aca="false">L28*1.18</f>
        <v>9255.4362</v>
      </c>
      <c r="N28" s="3" t="s">
        <v>39</v>
      </c>
    </row>
    <row r="29" customFormat="false" ht="15" hidden="false" customHeight="false" outlineLevel="0" collapsed="false">
      <c r="A29" s="0" t="s">
        <v>28</v>
      </c>
      <c r="B29" s="5" t="n">
        <v>46062</v>
      </c>
      <c r="C29" s="3" t="s">
        <v>278</v>
      </c>
      <c r="D29" s="0" t="n">
        <v>212</v>
      </c>
      <c r="E29" s="0" t="n">
        <v>2740.51</v>
      </c>
      <c r="F29" s="5" t="n">
        <v>46060</v>
      </c>
      <c r="G29" s="3" t="s">
        <v>281</v>
      </c>
      <c r="H29" s="5" t="n">
        <v>46062</v>
      </c>
      <c r="I29" s="3" t="s">
        <v>283</v>
      </c>
      <c r="J29" s="0" t="n">
        <v>5</v>
      </c>
      <c r="K29" s="0" t="n">
        <v>3</v>
      </c>
      <c r="L29" s="6" t="n">
        <f aca="false">E29*J29*K29</f>
        <v>41107.65</v>
      </c>
      <c r="M29" s="6" t="n">
        <f aca="false">L29*1.18</f>
        <v>48507.027</v>
      </c>
      <c r="N29" s="3" t="s">
        <v>243</v>
      </c>
    </row>
    <row r="30" customFormat="false" ht="15" hidden="false" customHeight="false" outlineLevel="0" collapsed="false">
      <c r="A30" s="0" t="s">
        <v>28</v>
      </c>
      <c r="B30" s="5" t="n">
        <v>46062</v>
      </c>
      <c r="C30" s="3" t="s">
        <v>290</v>
      </c>
      <c r="D30" s="0" t="n">
        <v>150</v>
      </c>
      <c r="E30" s="0" t="n">
        <v>1354.35</v>
      </c>
      <c r="F30" s="5" t="n">
        <v>46059</v>
      </c>
      <c r="G30" s="3" t="s">
        <v>293</v>
      </c>
      <c r="H30" s="5" t="n">
        <v>46062</v>
      </c>
      <c r="I30" s="3" t="s">
        <v>295</v>
      </c>
      <c r="J30" s="0" t="n">
        <v>3</v>
      </c>
      <c r="K30" s="0" t="n">
        <v>2</v>
      </c>
      <c r="L30" s="6" t="n">
        <f aca="false">E30*J30*K30</f>
        <v>8126.1</v>
      </c>
      <c r="M30" s="6" t="n">
        <f aca="false">L30*1.18</f>
        <v>9588.798</v>
      </c>
      <c r="N30" s="3" t="s">
        <v>39</v>
      </c>
    </row>
    <row r="31" customFormat="false" ht="15" hidden="false" customHeight="false" outlineLevel="0" collapsed="false">
      <c r="A31" s="0" t="s">
        <v>28</v>
      </c>
      <c r="B31" s="5" t="n">
        <v>46062</v>
      </c>
      <c r="C31" s="3" t="s">
        <v>296</v>
      </c>
      <c r="D31" s="0" t="n">
        <v>33</v>
      </c>
      <c r="E31" s="0" t="n">
        <v>44.51</v>
      </c>
      <c r="F31" s="5" t="n">
        <v>46060</v>
      </c>
      <c r="G31" s="3" t="s">
        <v>299</v>
      </c>
      <c r="H31" s="5" t="n">
        <v>46062</v>
      </c>
      <c r="I31" s="3" t="s">
        <v>301</v>
      </c>
      <c r="J31" s="0" t="n">
        <v>12</v>
      </c>
      <c r="K31" s="0" t="n">
        <v>4</v>
      </c>
      <c r="L31" s="6" t="n">
        <f aca="false">E31*J31*K31</f>
        <v>2136.48</v>
      </c>
      <c r="M31" s="6" t="n">
        <f aca="false">L31*1.18</f>
        <v>2521.0464</v>
      </c>
      <c r="N31" s="3" t="s">
        <v>65</v>
      </c>
    </row>
    <row r="32" customFormat="false" ht="15" hidden="false" customHeight="false" outlineLevel="0" collapsed="false">
      <c r="A32" s="0" t="s">
        <v>48</v>
      </c>
      <c r="B32" s="5" t="n">
        <v>46062</v>
      </c>
      <c r="C32" s="3" t="s">
        <v>302</v>
      </c>
      <c r="D32" s="0" t="n">
        <v>172</v>
      </c>
      <c r="E32" s="0" t="n">
        <v>1892.28</v>
      </c>
      <c r="F32" s="5" t="n">
        <v>46061</v>
      </c>
      <c r="G32" s="3" t="s">
        <v>305</v>
      </c>
      <c r="H32" s="5" t="n">
        <v>46062</v>
      </c>
      <c r="I32" s="3" t="s">
        <v>307</v>
      </c>
      <c r="J32" s="0" t="n">
        <v>3</v>
      </c>
      <c r="K32" s="0" t="n">
        <v>4</v>
      </c>
      <c r="L32" s="6" t="n">
        <f aca="false">E32*J32*K32</f>
        <v>22707.36</v>
      </c>
      <c r="M32" s="6" t="n">
        <f aca="false">L32*1.18</f>
        <v>26794.6848</v>
      </c>
      <c r="N32" s="3" t="s">
        <v>39</v>
      </c>
    </row>
    <row r="33" customFormat="false" ht="15" hidden="false" customHeight="false" outlineLevel="0" collapsed="false">
      <c r="A33" s="0" t="s">
        <v>28</v>
      </c>
      <c r="B33" s="5" t="n">
        <v>46063</v>
      </c>
      <c r="C33" s="3" t="s">
        <v>308</v>
      </c>
      <c r="D33" s="0" t="n">
        <v>100</v>
      </c>
      <c r="E33" s="0" t="n">
        <v>2348.91</v>
      </c>
      <c r="F33" s="5" t="n">
        <v>46062</v>
      </c>
      <c r="G33" s="3" t="s">
        <v>311</v>
      </c>
      <c r="H33" s="5" t="n">
        <v>46063</v>
      </c>
      <c r="I33" s="3" t="s">
        <v>313</v>
      </c>
      <c r="J33" s="0" t="n">
        <v>3</v>
      </c>
      <c r="K33" s="0" t="n">
        <v>4</v>
      </c>
      <c r="L33" s="6" t="n">
        <f aca="false">E33*J33*K33</f>
        <v>28186.92</v>
      </c>
      <c r="M33" s="6" t="n">
        <f aca="false">L33*1.18</f>
        <v>33260.5656</v>
      </c>
      <c r="N33" s="3" t="s">
        <v>39</v>
      </c>
    </row>
    <row r="34" customFormat="false" ht="15" hidden="false" customHeight="false" outlineLevel="0" collapsed="false">
      <c r="A34" s="0" t="s">
        <v>28</v>
      </c>
      <c r="B34" s="5" t="n">
        <v>46063</v>
      </c>
      <c r="C34" s="3" t="s">
        <v>314</v>
      </c>
      <c r="D34" s="0" t="n">
        <v>199</v>
      </c>
      <c r="E34" s="0" t="n">
        <v>3217.6</v>
      </c>
      <c r="F34" s="5" t="n">
        <v>46062</v>
      </c>
      <c r="G34" s="3" t="s">
        <v>316</v>
      </c>
      <c r="H34" s="5" t="n">
        <v>46063</v>
      </c>
      <c r="I34" s="3" t="s">
        <v>318</v>
      </c>
      <c r="J34" s="0" t="n">
        <v>3</v>
      </c>
      <c r="K34" s="0" t="n">
        <v>4</v>
      </c>
      <c r="L34" s="6" t="n">
        <f aca="false">E34*J34*K34</f>
        <v>38611.2</v>
      </c>
      <c r="M34" s="6" t="n">
        <f aca="false">L34*1.18</f>
        <v>45561.216</v>
      </c>
      <c r="N34" s="3" t="s">
        <v>39</v>
      </c>
    </row>
    <row r="35" customFormat="false" ht="15" hidden="false" customHeight="false" outlineLevel="0" collapsed="false">
      <c r="A35" s="0" t="s">
        <v>28</v>
      </c>
      <c r="B35" s="5" t="n">
        <v>46064</v>
      </c>
      <c r="C35" s="3" t="s">
        <v>325</v>
      </c>
      <c r="D35" s="0" t="n">
        <v>145</v>
      </c>
      <c r="E35" s="0" t="n">
        <v>2379.53</v>
      </c>
      <c r="F35" s="5" t="n">
        <v>46061</v>
      </c>
      <c r="G35" s="3" t="s">
        <v>327</v>
      </c>
      <c r="H35" s="5" t="n">
        <v>46064</v>
      </c>
      <c r="I35" s="3" t="s">
        <v>329</v>
      </c>
      <c r="J35" s="0" t="n">
        <v>3</v>
      </c>
      <c r="K35" s="0" t="n">
        <v>1</v>
      </c>
      <c r="L35" s="6" t="n">
        <f aca="false">E35*J35*K35</f>
        <v>7138.59</v>
      </c>
      <c r="M35" s="6" t="n">
        <f aca="false">L35*1.18</f>
        <v>8423.5362</v>
      </c>
      <c r="N35" s="3" t="s">
        <v>39</v>
      </c>
    </row>
    <row r="36" customFormat="false" ht="15" hidden="false" customHeight="false" outlineLevel="0" collapsed="false">
      <c r="A36" s="0" t="s">
        <v>28</v>
      </c>
      <c r="B36" s="5" t="n">
        <v>46064</v>
      </c>
      <c r="C36" s="3" t="s">
        <v>330</v>
      </c>
      <c r="D36" s="0" t="n">
        <v>196</v>
      </c>
      <c r="E36" s="0" t="n">
        <v>3587.48</v>
      </c>
      <c r="F36" s="5" t="n">
        <v>46064</v>
      </c>
      <c r="G36" s="3" t="s">
        <v>333</v>
      </c>
      <c r="H36" s="5" t="n">
        <v>46064</v>
      </c>
      <c r="I36" s="3" t="s">
        <v>258</v>
      </c>
      <c r="J36" s="0" t="n">
        <v>3</v>
      </c>
      <c r="K36" s="0" t="n">
        <v>1</v>
      </c>
      <c r="L36" s="6" t="n">
        <f aca="false">E36*J36*K36</f>
        <v>10762.44</v>
      </c>
      <c r="M36" s="6" t="n">
        <f aca="false">L36*1.18</f>
        <v>12699.6792</v>
      </c>
      <c r="N36" s="3" t="s">
        <v>39</v>
      </c>
    </row>
    <row r="37" customFormat="false" ht="15" hidden="false" customHeight="false" outlineLevel="0" collapsed="false">
      <c r="A37" s="0" t="s">
        <v>28</v>
      </c>
      <c r="B37" s="5" t="n">
        <v>46065</v>
      </c>
      <c r="C37" s="3" t="s">
        <v>341</v>
      </c>
      <c r="D37" s="0" t="n">
        <v>67</v>
      </c>
      <c r="E37" s="0" t="n">
        <v>1491.01</v>
      </c>
      <c r="F37" s="5" t="n">
        <v>46062</v>
      </c>
      <c r="G37" s="3" t="s">
        <v>343</v>
      </c>
      <c r="H37" s="5" t="n">
        <v>46065</v>
      </c>
      <c r="I37" s="3" t="s">
        <v>333</v>
      </c>
      <c r="J37" s="0" t="n">
        <v>12</v>
      </c>
      <c r="K37" s="0" t="n">
        <v>3</v>
      </c>
      <c r="L37" s="6" t="n">
        <f aca="false">E37*J37*K37</f>
        <v>53676.36</v>
      </c>
      <c r="M37" s="6" t="n">
        <f aca="false">L37*1.18</f>
        <v>63338.1048</v>
      </c>
      <c r="N37" s="3" t="s">
        <v>89</v>
      </c>
    </row>
    <row r="38" customFormat="false" ht="15" hidden="false" customHeight="false" outlineLevel="0" collapsed="false">
      <c r="A38" s="0" t="s">
        <v>28</v>
      </c>
      <c r="B38" s="5" t="n">
        <v>46065</v>
      </c>
      <c r="C38" s="3" t="s">
        <v>345</v>
      </c>
      <c r="D38" s="0" t="n">
        <v>166</v>
      </c>
      <c r="E38" s="0" t="n">
        <v>3950.17</v>
      </c>
      <c r="F38" s="5" t="n">
        <v>46063</v>
      </c>
      <c r="G38" s="3" t="s">
        <v>348</v>
      </c>
      <c r="H38" s="5" t="n">
        <v>46065</v>
      </c>
      <c r="I38" s="3" t="s">
        <v>350</v>
      </c>
      <c r="J38" s="0" t="n">
        <v>12</v>
      </c>
      <c r="K38" s="0" t="n">
        <v>3</v>
      </c>
      <c r="L38" s="6" t="n">
        <f aca="false">E38*J38*K38</f>
        <v>142206.12</v>
      </c>
      <c r="M38" s="6" t="n">
        <f aca="false">L38*1.18</f>
        <v>167803.2216</v>
      </c>
      <c r="N38" s="3" t="s">
        <v>89</v>
      </c>
    </row>
    <row r="39" customFormat="false" ht="15" hidden="false" customHeight="false" outlineLevel="0" collapsed="false">
      <c r="A39" s="0" t="s">
        <v>48</v>
      </c>
      <c r="B39" s="5" t="n">
        <v>46065</v>
      </c>
      <c r="C39" s="3" t="s">
        <v>356</v>
      </c>
      <c r="D39" s="0" t="n">
        <v>166</v>
      </c>
      <c r="E39" s="0" t="n">
        <v>1912.83</v>
      </c>
      <c r="F39" s="5" t="n">
        <v>46064</v>
      </c>
      <c r="G39" s="3" t="s">
        <v>358</v>
      </c>
      <c r="H39" s="5" t="n">
        <v>46065</v>
      </c>
      <c r="I39" s="3" t="s">
        <v>360</v>
      </c>
      <c r="J39" s="0" t="n">
        <v>3</v>
      </c>
      <c r="K39" s="0" t="n">
        <v>4</v>
      </c>
      <c r="L39" s="6" t="n">
        <f aca="false">E39*J39*K39</f>
        <v>22953.96</v>
      </c>
      <c r="M39" s="6" t="n">
        <f aca="false">L39*1.18</f>
        <v>27085.6728</v>
      </c>
      <c r="N39" s="3" t="s">
        <v>39</v>
      </c>
    </row>
    <row r="40" customFormat="false" ht="15" hidden="false" customHeight="false" outlineLevel="0" collapsed="false">
      <c r="A40" s="0" t="s">
        <v>48</v>
      </c>
      <c r="B40" s="5" t="n">
        <v>46065</v>
      </c>
      <c r="C40" s="3" t="s">
        <v>361</v>
      </c>
      <c r="D40" s="0" t="n">
        <v>205</v>
      </c>
      <c r="E40" s="0" t="n">
        <v>909.82</v>
      </c>
      <c r="F40" s="5" t="n">
        <v>46063</v>
      </c>
      <c r="G40" s="3" t="s">
        <v>364</v>
      </c>
      <c r="H40" s="5" t="n">
        <v>46065</v>
      </c>
      <c r="I40" s="3" t="s">
        <v>366</v>
      </c>
      <c r="J40" s="0" t="n">
        <v>3</v>
      </c>
      <c r="K40" s="0" t="n">
        <v>1</v>
      </c>
      <c r="L40" s="6" t="n">
        <f aca="false">E40*J40*K40</f>
        <v>2729.46</v>
      </c>
      <c r="M40" s="6" t="n">
        <f aca="false">L40*1.18</f>
        <v>3220.7628</v>
      </c>
      <c r="N40" s="3" t="s">
        <v>367</v>
      </c>
    </row>
    <row r="41" customFormat="false" ht="15" hidden="false" customHeight="false" outlineLevel="0" collapsed="false">
      <c r="A41" s="0" t="s">
        <v>28</v>
      </c>
      <c r="B41" s="5" t="n">
        <v>46066</v>
      </c>
      <c r="C41" s="3" t="s">
        <v>373</v>
      </c>
      <c r="D41" s="0" t="n">
        <v>149</v>
      </c>
      <c r="E41" s="0" t="n">
        <v>1645.91</v>
      </c>
      <c r="F41" s="5" t="n">
        <v>46065</v>
      </c>
      <c r="G41" s="3" t="s">
        <v>375</v>
      </c>
      <c r="H41" s="5" t="n">
        <v>46066</v>
      </c>
      <c r="I41" s="3" t="s">
        <v>189</v>
      </c>
      <c r="J41" s="0" t="n">
        <v>3</v>
      </c>
      <c r="K41" s="0" t="n">
        <v>3</v>
      </c>
      <c r="L41" s="6" t="n">
        <f aca="false">E41*J41*K41</f>
        <v>14813.19</v>
      </c>
      <c r="M41" s="6" t="n">
        <f aca="false">L41*1.18</f>
        <v>17479.5642</v>
      </c>
      <c r="N41" s="3" t="s">
        <v>39</v>
      </c>
    </row>
    <row r="42" customFormat="false" ht="15" hidden="false" customHeight="false" outlineLevel="0" collapsed="false">
      <c r="A42" s="0" t="s">
        <v>48</v>
      </c>
      <c r="B42" s="5" t="n">
        <v>46066</v>
      </c>
      <c r="C42" s="3" t="s">
        <v>393</v>
      </c>
      <c r="D42" s="0" t="n">
        <v>1</v>
      </c>
      <c r="E42" s="0" t="n">
        <v>1105.47</v>
      </c>
      <c r="F42" s="5" t="n">
        <v>46064</v>
      </c>
      <c r="G42" s="3" t="s">
        <v>396</v>
      </c>
      <c r="H42" s="5" t="n">
        <v>46066</v>
      </c>
      <c r="I42" s="3" t="s">
        <v>398</v>
      </c>
      <c r="J42" s="0" t="n">
        <v>5</v>
      </c>
      <c r="K42" s="0" t="n">
        <v>2</v>
      </c>
      <c r="L42" s="6" t="n">
        <f aca="false">E42*J42*K42</f>
        <v>11054.7</v>
      </c>
      <c r="M42" s="6" t="n">
        <f aca="false">L42*1.18</f>
        <v>13044.546</v>
      </c>
      <c r="N42" s="3" t="s">
        <v>243</v>
      </c>
    </row>
    <row r="43" customFormat="false" ht="15" hidden="false" customHeight="false" outlineLevel="0" collapsed="false">
      <c r="A43" s="0" t="s">
        <v>48</v>
      </c>
      <c r="B43" s="5" t="n">
        <v>46067</v>
      </c>
      <c r="C43" s="3" t="s">
        <v>417</v>
      </c>
      <c r="D43" s="0" t="n">
        <v>121</v>
      </c>
      <c r="E43" s="0" t="n">
        <v>1648.87</v>
      </c>
      <c r="F43" s="5" t="n">
        <v>46066</v>
      </c>
      <c r="G43" s="3" t="s">
        <v>419</v>
      </c>
      <c r="H43" s="5" t="n">
        <v>46067</v>
      </c>
      <c r="I43" s="3" t="s">
        <v>421</v>
      </c>
      <c r="J43" s="0" t="n">
        <v>3</v>
      </c>
      <c r="K43" s="0" t="n">
        <v>2</v>
      </c>
      <c r="L43" s="6" t="n">
        <f aca="false">E43*J43*K43</f>
        <v>9893.22</v>
      </c>
      <c r="M43" s="6" t="n">
        <f aca="false">L43*1.18</f>
        <v>11673.9996</v>
      </c>
      <c r="N43" s="3" t="s">
        <v>39</v>
      </c>
    </row>
    <row r="44" customFormat="false" ht="15" hidden="false" customHeight="false" outlineLevel="0" collapsed="false">
      <c r="A44" s="0" t="s">
        <v>48</v>
      </c>
      <c r="B44" s="5" t="n">
        <v>46067</v>
      </c>
      <c r="C44" s="3" t="s">
        <v>422</v>
      </c>
      <c r="D44" s="0" t="n">
        <v>184</v>
      </c>
      <c r="E44" s="0" t="n">
        <v>1955.27</v>
      </c>
      <c r="F44" s="5" t="n">
        <v>46067</v>
      </c>
      <c r="G44" s="3" t="s">
        <v>424</v>
      </c>
      <c r="H44" s="5" t="n">
        <v>46067</v>
      </c>
      <c r="I44" s="3" t="s">
        <v>426</v>
      </c>
      <c r="J44" s="0" t="n">
        <v>3</v>
      </c>
      <c r="K44" s="0" t="n">
        <v>1</v>
      </c>
      <c r="L44" s="6" t="n">
        <f aca="false">E44*J44*K44</f>
        <v>5865.81</v>
      </c>
      <c r="M44" s="6" t="n">
        <f aca="false">L44*1.18</f>
        <v>6921.6558</v>
      </c>
      <c r="N44" s="3" t="s">
        <v>39</v>
      </c>
    </row>
    <row r="45" customFormat="false" ht="15" hidden="false" customHeight="false" outlineLevel="0" collapsed="false">
      <c r="A45" s="0" t="s">
        <v>48</v>
      </c>
      <c r="B45" s="5" t="n">
        <v>46067</v>
      </c>
      <c r="C45" s="3" t="s">
        <v>427</v>
      </c>
      <c r="D45" s="0" t="n">
        <v>18</v>
      </c>
      <c r="E45" s="0" t="n">
        <v>770.03</v>
      </c>
      <c r="F45" s="5" t="n">
        <v>46064</v>
      </c>
      <c r="G45" s="3" t="s">
        <v>430</v>
      </c>
      <c r="H45" s="5" t="n">
        <v>46067</v>
      </c>
      <c r="I45" s="3" t="s">
        <v>432</v>
      </c>
      <c r="J45" s="0" t="n">
        <v>3</v>
      </c>
      <c r="K45" s="0" t="n">
        <v>3</v>
      </c>
      <c r="L45" s="6" t="n">
        <f aca="false">E45*J45*K45</f>
        <v>6930.27</v>
      </c>
      <c r="M45" s="6" t="n">
        <f aca="false">L45*1.18</f>
        <v>8177.7186</v>
      </c>
      <c r="N45" s="3" t="s">
        <v>39</v>
      </c>
    </row>
    <row r="46" customFormat="false" ht="15" hidden="false" customHeight="false" outlineLevel="0" collapsed="false">
      <c r="A46" s="0" t="s">
        <v>28</v>
      </c>
      <c r="B46" s="5" t="n">
        <v>46068</v>
      </c>
      <c r="C46" s="3" t="s">
        <v>433</v>
      </c>
      <c r="D46" s="0" t="n">
        <v>42</v>
      </c>
      <c r="E46" s="0" t="n">
        <v>3257.94</v>
      </c>
      <c r="F46" s="5" t="n">
        <v>46066</v>
      </c>
      <c r="G46" s="3" t="s">
        <v>436</v>
      </c>
      <c r="H46" s="5" t="n">
        <v>46068</v>
      </c>
      <c r="I46" s="3" t="s">
        <v>438</v>
      </c>
      <c r="J46" s="0" t="n">
        <v>3</v>
      </c>
      <c r="K46" s="0" t="n">
        <v>3</v>
      </c>
      <c r="L46" s="6" t="n">
        <f aca="false">E46*J46*K46</f>
        <v>29321.46</v>
      </c>
      <c r="M46" s="6" t="n">
        <f aca="false">L46*1.18</f>
        <v>34599.3228</v>
      </c>
      <c r="N46" s="3" t="s">
        <v>39</v>
      </c>
    </row>
    <row r="47" customFormat="false" ht="15" hidden="false" customHeight="false" outlineLevel="0" collapsed="false">
      <c r="A47" s="0" t="s">
        <v>28</v>
      </c>
      <c r="B47" s="5" t="n">
        <v>46068</v>
      </c>
      <c r="C47" s="3" t="s">
        <v>440</v>
      </c>
      <c r="D47" s="0" t="n">
        <v>193</v>
      </c>
      <c r="E47" s="0" t="n">
        <v>710.49</v>
      </c>
      <c r="F47" s="5" t="n">
        <v>46067</v>
      </c>
      <c r="G47" s="3" t="s">
        <v>442</v>
      </c>
      <c r="H47" s="5" t="n">
        <v>46068</v>
      </c>
      <c r="I47" s="3" t="s">
        <v>444</v>
      </c>
      <c r="J47" s="0" t="n">
        <v>3</v>
      </c>
      <c r="K47" s="0" t="n">
        <v>1</v>
      </c>
      <c r="L47" s="6" t="n">
        <f aca="false">E47*J47*K47</f>
        <v>2131.47</v>
      </c>
      <c r="M47" s="6" t="n">
        <f aca="false">L47*1.18</f>
        <v>2515.1346</v>
      </c>
      <c r="N47" s="3" t="s">
        <v>39</v>
      </c>
    </row>
    <row r="48" customFormat="false" ht="15" hidden="false" customHeight="false" outlineLevel="0" collapsed="false">
      <c r="A48" s="0" t="s">
        <v>48</v>
      </c>
      <c r="B48" s="5" t="n">
        <v>46068</v>
      </c>
      <c r="C48" s="3" t="s">
        <v>450</v>
      </c>
      <c r="D48" s="0" t="n">
        <v>76</v>
      </c>
      <c r="E48" s="0" t="n">
        <v>978.59</v>
      </c>
      <c r="F48" s="5" t="n">
        <v>46066</v>
      </c>
      <c r="G48" s="3" t="s">
        <v>286</v>
      </c>
      <c r="H48" s="5" t="n">
        <v>46068</v>
      </c>
      <c r="I48" s="3" t="s">
        <v>453</v>
      </c>
      <c r="J48" s="0" t="n">
        <v>3</v>
      </c>
      <c r="K48" s="0" t="n">
        <v>2</v>
      </c>
      <c r="L48" s="6" t="n">
        <f aca="false">E48*J48*K48</f>
        <v>5871.54</v>
      </c>
      <c r="M48" s="6" t="n">
        <f aca="false">L48*1.18</f>
        <v>6928.4172</v>
      </c>
      <c r="N48" s="3" t="s">
        <v>39</v>
      </c>
    </row>
    <row r="49" customFormat="false" ht="15" hidden="false" customHeight="false" outlineLevel="0" collapsed="false">
      <c r="A49" s="0" t="s">
        <v>48</v>
      </c>
      <c r="B49" s="5" t="n">
        <v>46068</v>
      </c>
      <c r="C49" s="3" t="s">
        <v>454</v>
      </c>
      <c r="D49" s="0" t="n">
        <v>155</v>
      </c>
      <c r="E49" s="0" t="n">
        <v>2882.63</v>
      </c>
      <c r="F49" s="5" t="n">
        <v>46068</v>
      </c>
      <c r="G49" s="3" t="s">
        <v>457</v>
      </c>
      <c r="H49" s="5" t="n">
        <v>46068</v>
      </c>
      <c r="I49" s="3" t="s">
        <v>459</v>
      </c>
      <c r="J49" s="0" t="n">
        <v>5</v>
      </c>
      <c r="K49" s="0" t="n">
        <v>2</v>
      </c>
      <c r="L49" s="6" t="n">
        <f aca="false">E49*J49*K49</f>
        <v>28826.3</v>
      </c>
      <c r="M49" s="6" t="n">
        <f aca="false">L49*1.18</f>
        <v>34015.034</v>
      </c>
      <c r="N49" s="3" t="s">
        <v>243</v>
      </c>
    </row>
    <row r="50" customFormat="false" ht="15" hidden="false" customHeight="false" outlineLevel="0" collapsed="false">
      <c r="A50" s="0" t="s">
        <v>48</v>
      </c>
      <c r="B50" s="5" t="n">
        <v>46068</v>
      </c>
      <c r="C50" s="3" t="s">
        <v>465</v>
      </c>
      <c r="D50" s="0" t="n">
        <v>124</v>
      </c>
      <c r="E50" s="0" t="n">
        <v>1004.33</v>
      </c>
      <c r="F50" s="5" t="n">
        <v>46067</v>
      </c>
      <c r="G50" s="3" t="s">
        <v>467</v>
      </c>
      <c r="H50" s="5" t="n">
        <v>46068</v>
      </c>
      <c r="I50" s="3" t="s">
        <v>469</v>
      </c>
      <c r="J50" s="0" t="n">
        <v>3</v>
      </c>
      <c r="K50" s="0" t="n">
        <v>1</v>
      </c>
      <c r="L50" s="6" t="n">
        <f aca="false">E50*J50*K50</f>
        <v>3012.99</v>
      </c>
      <c r="M50" s="6" t="n">
        <f aca="false">L50*1.18</f>
        <v>3555.3282</v>
      </c>
      <c r="N50" s="3" t="s">
        <v>39</v>
      </c>
    </row>
    <row r="51" customFormat="false" ht="15" hidden="false" customHeight="false" outlineLevel="0" collapsed="false">
      <c r="K51" s="7" t="s">
        <v>487</v>
      </c>
      <c r="L51" s="8" t="n">
        <f aca="false">SUM(L4:L50)</f>
        <v>954538.19</v>
      </c>
      <c r="M51" s="8" t="n">
        <f aca="false">SUM(M4:M50)</f>
        <v>1126355.0642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508</v>
      </c>
    </row>
    <row r="3" customFormat="false" ht="15" hidden="false" customHeight="false" outlineLevel="0" collapsed="false">
      <c r="A3" s="1" t="s">
        <v>509</v>
      </c>
      <c r="B3" s="1" t="s">
        <v>39</v>
      </c>
      <c r="C3" s="1" t="s">
        <v>138</v>
      </c>
      <c r="D3" s="1" t="s">
        <v>510</v>
      </c>
      <c r="E3" s="1" t="s">
        <v>511</v>
      </c>
    </row>
    <row r="4" customFormat="false" ht="15" hidden="false" customHeight="false" outlineLevel="0" collapsed="false">
      <c r="A4" s="0" t="s">
        <v>512</v>
      </c>
      <c r="B4" s="0" t="n">
        <v>3.2</v>
      </c>
      <c r="C4" s="0" t="n">
        <v>5.2</v>
      </c>
      <c r="D4" s="0" t="n">
        <v>3.6</v>
      </c>
    </row>
    <row r="5" customFormat="false" ht="15" hidden="false" customHeight="false" outlineLevel="0" collapsed="false">
      <c r="A5" s="0" t="s">
        <v>513</v>
      </c>
      <c r="B5" s="0" t="n">
        <v>2.1</v>
      </c>
      <c r="C5" s="0" t="n">
        <v>2.1</v>
      </c>
      <c r="D5" s="0" t="n">
        <v>2.1</v>
      </c>
      <c r="E5" s="0" t="n">
        <v>2.1</v>
      </c>
    </row>
    <row r="6" customFormat="false" ht="15" hidden="false" customHeight="false" outlineLevel="0" collapsed="false">
      <c r="A6" s="0" t="s">
        <v>514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515</v>
      </c>
      <c r="B8" s="1" t="s">
        <v>516</v>
      </c>
    </row>
    <row r="9" customFormat="false" ht="15" hidden="false" customHeight="false" outlineLevel="0" collapsed="false">
      <c r="A9" s="0" t="s">
        <v>39</v>
      </c>
      <c r="B9" s="0" t="n">
        <v>3</v>
      </c>
    </row>
    <row r="10" customFormat="false" ht="15" hidden="false" customHeight="false" outlineLevel="0" collapsed="false">
      <c r="A10" s="0" t="s">
        <v>138</v>
      </c>
      <c r="B10" s="0" t="n">
        <v>3</v>
      </c>
    </row>
    <row r="11" customFormat="false" ht="15" hidden="false" customHeight="false" outlineLevel="0" collapsed="false">
      <c r="A11" s="0" t="s">
        <v>367</v>
      </c>
      <c r="B11" s="0" t="n">
        <v>3</v>
      </c>
    </row>
    <row r="12" customFormat="false" ht="15" hidden="false" customHeight="false" outlineLevel="0" collapsed="false">
      <c r="A12" s="0" t="s">
        <v>243</v>
      </c>
      <c r="B12" s="0" t="n">
        <v>5</v>
      </c>
    </row>
    <row r="13" customFormat="false" ht="15" hidden="false" customHeight="false" outlineLevel="0" collapsed="false">
      <c r="A13" s="0" t="s">
        <v>74</v>
      </c>
      <c r="B13" s="0" t="n">
        <v>5</v>
      </c>
    </row>
    <row r="14" customFormat="false" ht="15" hidden="false" customHeight="false" outlineLevel="0" collapsed="false">
      <c r="A14" s="0" t="s">
        <v>65</v>
      </c>
      <c r="B14" s="0" t="n">
        <v>12</v>
      </c>
    </row>
    <row r="15" customFormat="false" ht="15" hidden="false" customHeight="false" outlineLevel="0" collapsed="false">
      <c r="A15" s="0" t="s">
        <v>89</v>
      </c>
      <c r="B15" s="0" t="n">
        <v>12</v>
      </c>
    </row>
    <row r="16" customFormat="false" ht="15" hidden="false" customHeight="false" outlineLevel="0" collapsed="false">
      <c r="A16" s="0" t="s">
        <v>183</v>
      </c>
      <c r="B16" s="0" t="n">
        <v>5</v>
      </c>
    </row>
    <row r="17" customFormat="false" ht="15" hidden="false" customHeight="false" outlineLevel="0" collapsed="false">
      <c r="A17" s="0" t="s">
        <v>517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2026-07-01T11:05:44Z</dcterms:created>
  <dc:creator>openpyxl</dc:creator>
  <dc:description/>
  <dc:language>en-US</dc:language>
  <cp:lastModifiedBy/>
  <dcterms:modified xsi:type="dcterms:W3CDTF">2026-07-01T11:05:44Z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