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X" sheetId="1" state="visible" r:id="rId3"/>
    <sheet name="SC (MEERA)" sheetId="2" state="visible" r:id="rId4"/>
    <sheet name="DEM" sheetId="3" state="visible" r:id="rId5"/>
    <sheet name="OFFLOADING" sheetId="4" state="visible" r:id="rId6"/>
    <sheet name="Rates" sheetId="5" state="visible" r:id="rId7"/>
    <sheet name="DEBIT NOTE SHE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<sst xmlns="http://schemas.openxmlformats.org/spreadsheetml/2006/main" count="1954" uniqueCount="643">
  <si>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</si>
  <si>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</si>
  <si>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</si>
  <si>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</si>
  <si>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</si>
  <si>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</si>
  <si>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</si>
  <si>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</si>
  <si>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</si>
  <si>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</si>
  <si>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</si>
  <si>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</si>
  <si>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</si>
  <si>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</si>
  <si>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</si>
  <si>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</si>
  <si>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</si>
  <si>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</si>
  <si>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</si>
  <si>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</si>
  <si>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</si>
  <si>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</si>
  <si>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</si>
  <si>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DAYS</t>
  </si>
  <si>
    <t xml:space="preserve">DEM</t>
  </si>
  <si>
    <t xml:space="preserve">DAYS</t>
  </si>
  <si>
    <t xml:space="preserve">RATES</t>
  </si>
  <si>
    <t xml:space="preserve">AMNT</t>
  </si>
  <si>
    <t xml:space="preserve">GROSS AMNT</t>
  </si>
  <si>
    <t xml:space="preserve">SZ0332</t>
  </si>
  <si>
    <t xml:space="preserve">772-58947567</t>
  </si>
  <si>
    <t xml:space="preserve">P</t>
  </si>
  <si>
    <t xml:space="preserve">DEL</t>
  </si>
  <si>
    <t xml:space="preserve">DYU</t>
  </si>
  <si>
    <t xml:space="preserve">21:07:00</t>
  </si>
  <si>
    <t xml:space="preserve">04:10:00</t>
  </si>
  <si>
    <t xml:space="preserve">09:13:00</t>
  </si>
  <si>
    <t xml:space="preserve">PMC24090SZ</t>
  </si>
  <si>
    <t xml:space="preserve">09:12:00</t>
  </si>
  <si>
    <t xml:space="preserve">MACHINERY PARTS</t>
  </si>
  <si>
    <t xml:space="preserve">GEN</t>
  </si>
  <si>
    <t xml:space="preserve">SZ0330</t>
  </si>
  <si>
    <t xml:space="preserve">772-97436900</t>
  </si>
  <si>
    <t xml:space="preserve">FRU</t>
  </si>
  <si>
    <t xml:space="preserve">20:48:00</t>
  </si>
  <si>
    <t xml:space="preserve">03:02:00</t>
  </si>
  <si>
    <t xml:space="preserve">14:53:00</t>
  </si>
  <si>
    <t xml:space="preserve">PMC90005SZ</t>
  </si>
  <si>
    <t xml:space="preserve">07:34:00</t>
  </si>
  <si>
    <t xml:space="preserve">CONSOL SHIPMENT</t>
  </si>
  <si>
    <t xml:space="preserve">772-34419171</t>
  </si>
  <si>
    <t xml:space="preserve">TAS</t>
  </si>
  <si>
    <t xml:space="preserve">20:00:00</t>
  </si>
  <si>
    <t xml:space="preserve">15:19:00</t>
  </si>
  <si>
    <t xml:space="preserve">00:10:00</t>
  </si>
  <si>
    <t xml:space="preserve">BT9401**</t>
  </si>
  <si>
    <t xml:space="preserve">00:45:00</t>
  </si>
  <si>
    <t xml:space="preserve">CONSOL CARGO</t>
  </si>
  <si>
    <t xml:space="preserve">772-21892896</t>
  </si>
  <si>
    <t xml:space="preserve">16:43:00</t>
  </si>
  <si>
    <t xml:space="preserve">06:38:00</t>
  </si>
  <si>
    <t xml:space="preserve">21:48:00</t>
  </si>
  <si>
    <t xml:space="preserve">BT8076**</t>
  </si>
  <si>
    <t xml:space="preserve">02:47:00</t>
  </si>
  <si>
    <t xml:space="preserve">772-89520184</t>
  </si>
  <si>
    <t xml:space="preserve">11:12:00</t>
  </si>
  <si>
    <t xml:space="preserve">05:29:00</t>
  </si>
  <si>
    <t xml:space="preserve">17:04:00</t>
  </si>
  <si>
    <t xml:space="preserve">PMC60628SZ</t>
  </si>
  <si>
    <t xml:space="preserve">03:59:00</t>
  </si>
  <si>
    <t xml:space="preserve">ELECTRONICS</t>
  </si>
  <si>
    <t xml:space="preserve">VUN</t>
  </si>
  <si>
    <t xml:space="preserve">772-30871977</t>
  </si>
  <si>
    <t xml:space="preserve">A</t>
  </si>
  <si>
    <t xml:space="preserve">22:36:00</t>
  </si>
  <si>
    <t xml:space="preserve">08:21:00</t>
  </si>
  <si>
    <t xml:space="preserve">00:48:00</t>
  </si>
  <si>
    <t xml:space="preserve">PMC24805SZ</t>
  </si>
  <si>
    <t xml:space="preserve">04:12:00</t>
  </si>
  <si>
    <t xml:space="preserve">TEXTILES</t>
  </si>
  <si>
    <t xml:space="preserve">TRM</t>
  </si>
  <si>
    <t xml:space="preserve">772-78563178</t>
  </si>
  <si>
    <t xml:space="preserve">12:46:00</t>
  </si>
  <si>
    <t xml:space="preserve">15:51:00</t>
  </si>
  <si>
    <t xml:space="preserve">04:28:00</t>
  </si>
  <si>
    <t xml:space="preserve">PMC86572SZ</t>
  </si>
  <si>
    <t xml:space="preserve">12:08:00</t>
  </si>
  <si>
    <t xml:space="preserve">PHARMACEUTICALS</t>
  </si>
  <si>
    <t xml:space="preserve">772-80655183</t>
  </si>
  <si>
    <t xml:space="preserve">11:45:00</t>
  </si>
  <si>
    <t xml:space="preserve">02:17:00</t>
  </si>
  <si>
    <t xml:space="preserve">07:58:00</t>
  </si>
  <si>
    <t xml:space="preserve">BT5807**</t>
  </si>
  <si>
    <t xml:space="preserve">08:39:00</t>
  </si>
  <si>
    <t xml:space="preserve">LEATHER GOODS</t>
  </si>
  <si>
    <t xml:space="preserve">SPL</t>
  </si>
  <si>
    <t xml:space="preserve">772-24009443</t>
  </si>
  <si>
    <t xml:space="preserve">22:07:00</t>
  </si>
  <si>
    <t xml:space="preserve">19:47:00</t>
  </si>
  <si>
    <t xml:space="preserve">22:39:00</t>
  </si>
  <si>
    <t xml:space="preserve">PMC81371SZ</t>
  </si>
  <si>
    <t xml:space="preserve">04:45:00</t>
  </si>
  <si>
    <t xml:space="preserve">772-81336112</t>
  </si>
  <si>
    <t xml:space="preserve">11:03:00</t>
  </si>
  <si>
    <t xml:space="preserve">17:02:00</t>
  </si>
  <si>
    <t xml:space="preserve">11:01:00</t>
  </si>
  <si>
    <t xml:space="preserve">PMC30573SZ</t>
  </si>
  <si>
    <t xml:space="preserve">01:41:00</t>
  </si>
  <si>
    <t xml:space="preserve">772-17024619</t>
  </si>
  <si>
    <t xml:space="preserve">12:38:00</t>
  </si>
  <si>
    <t xml:space="preserve">19:02:00</t>
  </si>
  <si>
    <t xml:space="preserve">09:40:00</t>
  </si>
  <si>
    <t xml:space="preserve">PMC98675SZ</t>
  </si>
  <si>
    <t xml:space="preserve">12:25:00</t>
  </si>
  <si>
    <t xml:space="preserve">AVI</t>
  </si>
  <si>
    <t xml:space="preserve">772-66408924</t>
  </si>
  <si>
    <t xml:space="preserve">15:20:00</t>
  </si>
  <si>
    <t xml:space="preserve">19:15:00</t>
  </si>
  <si>
    <t xml:space="preserve">06:44:00</t>
  </si>
  <si>
    <t xml:space="preserve">PMC37175SZ</t>
  </si>
  <si>
    <t xml:space="preserve">10:53:00</t>
  </si>
  <si>
    <t xml:space="preserve">AUTO PARTS</t>
  </si>
  <si>
    <t xml:space="preserve">772-15692835</t>
  </si>
  <si>
    <t xml:space="preserve">22:24:00</t>
  </si>
  <si>
    <t xml:space="preserve">06:03:00</t>
  </si>
  <si>
    <t xml:space="preserve">15:56:00</t>
  </si>
  <si>
    <t xml:space="preserve">PMC72763SZ</t>
  </si>
  <si>
    <t xml:space="preserve">08:04:00</t>
  </si>
  <si>
    <t xml:space="preserve">772-37537279</t>
  </si>
  <si>
    <t xml:space="preserve">20:51:00</t>
  </si>
  <si>
    <t xml:space="preserve">01:54:00</t>
  </si>
  <si>
    <t xml:space="preserve">12:04:00</t>
  </si>
  <si>
    <t xml:space="preserve">PMC85351SZ</t>
  </si>
  <si>
    <t xml:space="preserve">09:58:00</t>
  </si>
  <si>
    <t xml:space="preserve">772-88540391</t>
  </si>
  <si>
    <t xml:space="preserve">10:04:00</t>
  </si>
  <si>
    <t xml:space="preserve">12:10:00</t>
  </si>
  <si>
    <t xml:space="preserve">23:38:00</t>
  </si>
  <si>
    <t xml:space="preserve">PMC76585SZ</t>
  </si>
  <si>
    <t xml:space="preserve">07:38:00</t>
  </si>
  <si>
    <t xml:space="preserve">772-71150533</t>
  </si>
  <si>
    <t xml:space="preserve">16:07:00</t>
  </si>
  <si>
    <t xml:space="preserve">11:39:00</t>
  </si>
  <si>
    <t xml:space="preserve">03:41:00</t>
  </si>
  <si>
    <t xml:space="preserve">PMC63056SZ</t>
  </si>
  <si>
    <t xml:space="preserve">02:02:00</t>
  </si>
  <si>
    <t xml:space="preserve">772-97515424</t>
  </si>
  <si>
    <t xml:space="preserve">21:47:00</t>
  </si>
  <si>
    <t xml:space="preserve">09:51:00</t>
  </si>
  <si>
    <t xml:space="preserve">02:21:00</t>
  </si>
  <si>
    <t xml:space="preserve">PMC58709SZ</t>
  </si>
  <si>
    <t xml:space="preserve">02:38:00</t>
  </si>
  <si>
    <t xml:space="preserve">772-42265108</t>
  </si>
  <si>
    <t xml:space="preserve">23:35:00</t>
  </si>
  <si>
    <t xml:space="preserve">16:57:00</t>
  </si>
  <si>
    <t xml:space="preserve">BT3441**</t>
  </si>
  <si>
    <t xml:space="preserve">10:15:00</t>
  </si>
  <si>
    <t xml:space="preserve">GARMENTS</t>
  </si>
  <si>
    <t xml:space="preserve">772-19811191</t>
  </si>
  <si>
    <t xml:space="preserve">17:03:00</t>
  </si>
  <si>
    <t xml:space="preserve">00:06:00</t>
  </si>
  <si>
    <t xml:space="preserve">03:29:00</t>
  </si>
  <si>
    <t xml:space="preserve">PMC12093SZ</t>
  </si>
  <si>
    <t xml:space="preserve">01:36:00</t>
  </si>
  <si>
    <t xml:space="preserve">772-74231299</t>
  </si>
  <si>
    <t xml:space="preserve">18:12:00</t>
  </si>
  <si>
    <t xml:space="preserve">16:09:00</t>
  </si>
  <si>
    <t xml:space="preserve">21:59:00</t>
  </si>
  <si>
    <t xml:space="preserve">BT3893**</t>
  </si>
  <si>
    <t xml:space="preserve">06:59:00</t>
  </si>
  <si>
    <t xml:space="preserve">772-32280415</t>
  </si>
  <si>
    <t xml:space="preserve">16:39:00</t>
  </si>
  <si>
    <t xml:space="preserve">02:20:00</t>
  </si>
  <si>
    <t xml:space="preserve">04:03:00</t>
  </si>
  <si>
    <t xml:space="preserve">PMC15443SZ</t>
  </si>
  <si>
    <t xml:space="preserve">05:20:00</t>
  </si>
  <si>
    <t xml:space="preserve">772-75040557</t>
  </si>
  <si>
    <t xml:space="preserve">21:04:00</t>
  </si>
  <si>
    <t xml:space="preserve">15:35:00</t>
  </si>
  <si>
    <t xml:space="preserve">01:40:00</t>
  </si>
  <si>
    <t xml:space="preserve">PMC86224SZ</t>
  </si>
  <si>
    <t xml:space="preserve">12:56:00</t>
  </si>
  <si>
    <t xml:space="preserve">SHOES</t>
  </si>
  <si>
    <t xml:space="preserve">772-48491260</t>
  </si>
  <si>
    <t xml:space="preserve">09:57:00</t>
  </si>
  <si>
    <t xml:space="preserve">14:56:00</t>
  </si>
  <si>
    <t xml:space="preserve">07:30:00</t>
  </si>
  <si>
    <t xml:space="preserve">PMC77537SZ</t>
  </si>
  <si>
    <t xml:space="preserve">04:42:00</t>
  </si>
  <si>
    <t xml:space="preserve">SPICES</t>
  </si>
  <si>
    <t xml:space="preserve">772-90500033</t>
  </si>
  <si>
    <t xml:space="preserve">21:09:00</t>
  </si>
  <si>
    <t xml:space="preserve">14:35:00</t>
  </si>
  <si>
    <t xml:space="preserve">07:44:00</t>
  </si>
  <si>
    <t xml:space="preserve">PMC30668SZ</t>
  </si>
  <si>
    <t xml:space="preserve">SURGICAL GOODS</t>
  </si>
  <si>
    <t xml:space="preserve">772-58351744</t>
  </si>
  <si>
    <t xml:space="preserve">08:28:00</t>
  </si>
  <si>
    <t xml:space="preserve">09:20:00</t>
  </si>
  <si>
    <t xml:space="preserve">06:57:00</t>
  </si>
  <si>
    <t xml:space="preserve">PMC97827SZ</t>
  </si>
  <si>
    <t xml:space="preserve">772-58376645</t>
  </si>
  <si>
    <t xml:space="preserve">19:50:00</t>
  </si>
  <si>
    <t xml:space="preserve">21:15:00</t>
  </si>
  <si>
    <t xml:space="preserve">07:29:00</t>
  </si>
  <si>
    <t xml:space="preserve">BT6914**</t>
  </si>
  <si>
    <t xml:space="preserve">08:57:00</t>
  </si>
  <si>
    <t xml:space="preserve">772-40000561</t>
  </si>
  <si>
    <t xml:space="preserve">11:14:00</t>
  </si>
  <si>
    <t xml:space="preserve">00:57:00</t>
  </si>
  <si>
    <t xml:space="preserve">08:32:00</t>
  </si>
  <si>
    <t xml:space="preserve">BT2679**</t>
  </si>
  <si>
    <t xml:space="preserve">08:12:00</t>
  </si>
  <si>
    <t xml:space="preserve">772-67777448</t>
  </si>
  <si>
    <t xml:space="preserve">19:36:00</t>
  </si>
  <si>
    <t xml:space="preserve">00:27:00</t>
  </si>
  <si>
    <t xml:space="preserve">04:09:00</t>
  </si>
  <si>
    <t xml:space="preserve">BT2959**</t>
  </si>
  <si>
    <t xml:space="preserve">05:42:00</t>
  </si>
  <si>
    <t xml:space="preserve">772-38509924</t>
  </si>
  <si>
    <t xml:space="preserve">08:10:00</t>
  </si>
  <si>
    <t xml:space="preserve">12:39:00</t>
  </si>
  <si>
    <t xml:space="preserve">10:23:00</t>
  </si>
  <si>
    <t xml:space="preserve">PMC10484SZ</t>
  </si>
  <si>
    <t xml:space="preserve">07:46:00</t>
  </si>
  <si>
    <t xml:space="preserve">COTTON YARN</t>
  </si>
  <si>
    <t xml:space="preserve">772-74887925</t>
  </si>
  <si>
    <t xml:space="preserve">10:50:00</t>
  </si>
  <si>
    <t xml:space="preserve">20:36:00</t>
  </si>
  <si>
    <t xml:space="preserve">23:16:00</t>
  </si>
  <si>
    <t xml:space="preserve">BT7170**</t>
  </si>
  <si>
    <t xml:space="preserve">06:23:00</t>
  </si>
  <si>
    <t xml:space="preserve">MEDICINE</t>
  </si>
  <si>
    <t xml:space="preserve">772-54358980</t>
  </si>
  <si>
    <t xml:space="preserve">21:52:00</t>
  </si>
  <si>
    <t xml:space="preserve">02:42:00</t>
  </si>
  <si>
    <t xml:space="preserve">08:30:00</t>
  </si>
  <si>
    <t xml:space="preserve">PMC79493SZ</t>
  </si>
  <si>
    <t xml:space="preserve">03:26:00</t>
  </si>
  <si>
    <t xml:space="preserve">772-58286458</t>
  </si>
  <si>
    <t xml:space="preserve">22:21:00</t>
  </si>
  <si>
    <t xml:space="preserve">09:56:00</t>
  </si>
  <si>
    <t xml:space="preserve">PMC86833SZ</t>
  </si>
  <si>
    <t xml:space="preserve">08:47:00</t>
  </si>
  <si>
    <t xml:space="preserve">772-14470240</t>
  </si>
  <si>
    <t xml:space="preserve">14:04:00</t>
  </si>
  <si>
    <t xml:space="preserve">13:25:00</t>
  </si>
  <si>
    <t xml:space="preserve">15:08:00</t>
  </si>
  <si>
    <t xml:space="preserve">PMC51001SZ</t>
  </si>
  <si>
    <t xml:space="preserve">772-69369597</t>
  </si>
  <si>
    <t xml:space="preserve">11:32:00</t>
  </si>
  <si>
    <t xml:space="preserve">21:43:00</t>
  </si>
  <si>
    <t xml:space="preserve">09:37:00</t>
  </si>
  <si>
    <t xml:space="preserve">PMC21613SZ</t>
  </si>
  <si>
    <t xml:space="preserve">06:54:00</t>
  </si>
  <si>
    <t xml:space="preserve">PERISHABLE FOOD</t>
  </si>
  <si>
    <t xml:space="preserve">772-58678471</t>
  </si>
  <si>
    <t xml:space="preserve">20:53:00</t>
  </si>
  <si>
    <t xml:space="preserve">10:57:00</t>
  </si>
  <si>
    <t xml:space="preserve">17:20:00</t>
  </si>
  <si>
    <t xml:space="preserve">PMC80155SZ</t>
  </si>
  <si>
    <t xml:space="preserve">00:51:00</t>
  </si>
  <si>
    <t xml:space="preserve">772-51315105</t>
  </si>
  <si>
    <t xml:space="preserve">11:48:00</t>
  </si>
  <si>
    <t xml:space="preserve">11:37:00</t>
  </si>
  <si>
    <t xml:space="preserve">06:43:00</t>
  </si>
  <si>
    <t xml:space="preserve">BT9872**</t>
  </si>
  <si>
    <t xml:space="preserve">10:36:00</t>
  </si>
  <si>
    <t xml:space="preserve">772-88561829</t>
  </si>
  <si>
    <t xml:space="preserve">19:35:00</t>
  </si>
  <si>
    <t xml:space="preserve">21:37:00</t>
  </si>
  <si>
    <t xml:space="preserve">13:23:00</t>
  </si>
  <si>
    <t xml:space="preserve">PMC97751SZ</t>
  </si>
  <si>
    <t xml:space="preserve">12:24:00</t>
  </si>
  <si>
    <t xml:space="preserve">DGR</t>
  </si>
  <si>
    <t xml:space="preserve">772-73458617</t>
  </si>
  <si>
    <t xml:space="preserve">12:32:00</t>
  </si>
  <si>
    <t xml:space="preserve">19:54:00</t>
  </si>
  <si>
    <t xml:space="preserve">BT7833**</t>
  </si>
  <si>
    <t xml:space="preserve">07:39:00</t>
  </si>
  <si>
    <t xml:space="preserve">772-98770294</t>
  </si>
  <si>
    <t xml:space="preserve">22:30:00</t>
  </si>
  <si>
    <t xml:space="preserve">19:34:00</t>
  </si>
  <si>
    <t xml:space="preserve">07:41:00</t>
  </si>
  <si>
    <t xml:space="preserve">PMC81916SZ</t>
  </si>
  <si>
    <t xml:space="preserve">07:35:00</t>
  </si>
  <si>
    <t xml:space="preserve">772-60408783</t>
  </si>
  <si>
    <t xml:space="preserve">09:18:00</t>
  </si>
  <si>
    <t xml:space="preserve">17:26:00</t>
  </si>
  <si>
    <t xml:space="preserve">15:24:00</t>
  </si>
  <si>
    <t xml:space="preserve">BT4851**</t>
  </si>
  <si>
    <t xml:space="preserve">11:56:00</t>
  </si>
  <si>
    <t xml:space="preserve">772-66730460</t>
  </si>
  <si>
    <t xml:space="preserve">08:41:00</t>
  </si>
  <si>
    <t xml:space="preserve">00:07:00</t>
  </si>
  <si>
    <t xml:space="preserve">11:18:00</t>
  </si>
  <si>
    <t xml:space="preserve">PMC62164SZ</t>
  </si>
  <si>
    <t xml:space="preserve">09:29:00</t>
  </si>
  <si>
    <t xml:space="preserve">772-34465244</t>
  </si>
  <si>
    <t xml:space="preserve">14:10:00</t>
  </si>
  <si>
    <t xml:space="preserve">01:07:00</t>
  </si>
  <si>
    <t xml:space="preserve">15:12:00</t>
  </si>
  <si>
    <t xml:space="preserve">PMC36103SZ</t>
  </si>
  <si>
    <t xml:space="preserve">12:45:00</t>
  </si>
  <si>
    <t xml:space="preserve">772-71092609</t>
  </si>
  <si>
    <t xml:space="preserve">09:24:00</t>
  </si>
  <si>
    <t xml:space="preserve">07:51:00</t>
  </si>
  <si>
    <t xml:space="preserve">PMC86851SZ</t>
  </si>
  <si>
    <t xml:space="preserve">04:38:00</t>
  </si>
  <si>
    <t xml:space="preserve">772-24138732</t>
  </si>
  <si>
    <t xml:space="preserve">17:19:00</t>
  </si>
  <si>
    <t xml:space="preserve">16:44:00</t>
  </si>
  <si>
    <t xml:space="preserve">PMC29961SZ</t>
  </si>
  <si>
    <t xml:space="preserve">08:33:00</t>
  </si>
  <si>
    <t xml:space="preserve">772-11434510</t>
  </si>
  <si>
    <t xml:space="preserve">13:39:00</t>
  </si>
  <si>
    <t xml:space="preserve">08:53:00</t>
  </si>
  <si>
    <t xml:space="preserve">04:32:00</t>
  </si>
  <si>
    <t xml:space="preserve">PMC92935SZ</t>
  </si>
  <si>
    <t xml:space="preserve">11:58:00</t>
  </si>
  <si>
    <t xml:space="preserve">772-41929572</t>
  </si>
  <si>
    <t xml:space="preserve">20:01:00</t>
  </si>
  <si>
    <t xml:space="preserve">03:18:00</t>
  </si>
  <si>
    <t xml:space="preserve">14:31:00</t>
  </si>
  <si>
    <t xml:space="preserve">BT1559**</t>
  </si>
  <si>
    <t xml:space="preserve">05:37:00</t>
  </si>
  <si>
    <t xml:space="preserve">772-33815273</t>
  </si>
  <si>
    <t xml:space="preserve">09:54:00</t>
  </si>
  <si>
    <t xml:space="preserve">20:40:00</t>
  </si>
  <si>
    <t xml:space="preserve">13:32:00</t>
  </si>
  <si>
    <t xml:space="preserve">PMC82154SZ</t>
  </si>
  <si>
    <t xml:space="preserve">06:17:00</t>
  </si>
  <si>
    <t xml:space="preserve">772-47074227</t>
  </si>
  <si>
    <t xml:space="preserve">18:25:00</t>
  </si>
  <si>
    <t xml:space="preserve">02:08:00</t>
  </si>
  <si>
    <t xml:space="preserve">16:31:00</t>
  </si>
  <si>
    <t xml:space="preserve">PMC95221SZ</t>
  </si>
  <si>
    <t xml:space="preserve">02:03:00</t>
  </si>
  <si>
    <t xml:space="preserve">MOBILE PHONES</t>
  </si>
  <si>
    <t xml:space="preserve">772-40465422</t>
  </si>
  <si>
    <t xml:space="preserve">18:03:00</t>
  </si>
  <si>
    <t xml:space="preserve">21:20:00</t>
  </si>
  <si>
    <t xml:space="preserve">15:49:00</t>
  </si>
  <si>
    <t xml:space="preserve">PMC89626SZ</t>
  </si>
  <si>
    <t xml:space="preserve">772-24099680</t>
  </si>
  <si>
    <t xml:space="preserve">20:04:00</t>
  </si>
  <si>
    <t xml:space="preserve">03:50:00</t>
  </si>
  <si>
    <t xml:space="preserve">08:52:00</t>
  </si>
  <si>
    <t xml:space="preserve">BT2358**</t>
  </si>
  <si>
    <t xml:space="preserve">07:32:00</t>
  </si>
  <si>
    <t xml:space="preserve">772-56103643</t>
  </si>
  <si>
    <t xml:space="preserve">14:51:00</t>
  </si>
  <si>
    <t xml:space="preserve">05:43:00</t>
  </si>
  <si>
    <t xml:space="preserve">12:55:00</t>
  </si>
  <si>
    <t xml:space="preserve">PMC59481SZ</t>
  </si>
  <si>
    <t xml:space="preserve">772-44780860</t>
  </si>
  <si>
    <t xml:space="preserve">16:56:00</t>
  </si>
  <si>
    <t xml:space="preserve">10:37:00</t>
  </si>
  <si>
    <t xml:space="preserve">BT1325**</t>
  </si>
  <si>
    <t xml:space="preserve">772-40034427</t>
  </si>
  <si>
    <t xml:space="preserve">23:52:00</t>
  </si>
  <si>
    <t xml:space="preserve">00:14:00</t>
  </si>
  <si>
    <t xml:space="preserve">12:34:00</t>
  </si>
  <si>
    <t xml:space="preserve">BT6554**</t>
  </si>
  <si>
    <t xml:space="preserve">05:27:00</t>
  </si>
  <si>
    <t xml:space="preserve">HANDICRAFTS</t>
  </si>
  <si>
    <t xml:space="preserve">772-14637296</t>
  </si>
  <si>
    <t xml:space="preserve">22:49:00</t>
  </si>
  <si>
    <t xml:space="preserve">06:48:00</t>
  </si>
  <si>
    <t xml:space="preserve">01:03:00</t>
  </si>
  <si>
    <t xml:space="preserve">PMC84130SZ</t>
  </si>
  <si>
    <t xml:space="preserve">04:21:00</t>
  </si>
  <si>
    <t xml:space="preserve">772-36964915</t>
  </si>
  <si>
    <t xml:space="preserve">19:14:00</t>
  </si>
  <si>
    <t xml:space="preserve">21:05:00</t>
  </si>
  <si>
    <t xml:space="preserve">03:38:00</t>
  </si>
  <si>
    <t xml:space="preserve">PMC72965SZ</t>
  </si>
  <si>
    <t xml:space="preserve">04:04:00</t>
  </si>
  <si>
    <t xml:space="preserve">772-18987580</t>
  </si>
  <si>
    <t xml:space="preserve">06:40:00</t>
  </si>
  <si>
    <t xml:space="preserve">07:28:00</t>
  </si>
  <si>
    <t xml:space="preserve">PMC46479SZ</t>
  </si>
  <si>
    <t xml:space="preserve">05:14:00</t>
  </si>
  <si>
    <t xml:space="preserve">772-46376310</t>
  </si>
  <si>
    <t xml:space="preserve">14:22:00</t>
  </si>
  <si>
    <t xml:space="preserve">17:39:00</t>
  </si>
  <si>
    <t xml:space="preserve">PMC40662SZ</t>
  </si>
  <si>
    <t xml:space="preserve">10:13:00</t>
  </si>
  <si>
    <t xml:space="preserve">772-34793613</t>
  </si>
  <si>
    <t xml:space="preserve">18:51:00</t>
  </si>
  <si>
    <t xml:space="preserve">10:56:00</t>
  </si>
  <si>
    <t xml:space="preserve">PMC22039SZ</t>
  </si>
  <si>
    <t xml:space="preserve">08:46:00</t>
  </si>
  <si>
    <t xml:space="preserve">772-11428491</t>
  </si>
  <si>
    <t xml:space="preserve">16:49:00</t>
  </si>
  <si>
    <t xml:space="preserve">18:20:00</t>
  </si>
  <si>
    <t xml:space="preserve">23:05:00</t>
  </si>
  <si>
    <t xml:space="preserve">PMC36778SZ</t>
  </si>
  <si>
    <t xml:space="preserve">772-61905730</t>
  </si>
  <si>
    <t xml:space="preserve">13:01:00</t>
  </si>
  <si>
    <t xml:space="preserve">07:03:00</t>
  </si>
  <si>
    <t xml:space="preserve">PMC10286SZ</t>
  </si>
  <si>
    <t xml:space="preserve">10:24:00</t>
  </si>
  <si>
    <t xml:space="preserve">772-99902944</t>
  </si>
  <si>
    <t xml:space="preserve">13:59:00</t>
  </si>
  <si>
    <t xml:space="preserve">09:31:00</t>
  </si>
  <si>
    <t xml:space="preserve">PMC31324SZ</t>
  </si>
  <si>
    <t xml:space="preserve">05:18:00</t>
  </si>
  <si>
    <t xml:space="preserve">772-99499751</t>
  </si>
  <si>
    <t xml:space="preserve">14:16:00</t>
  </si>
  <si>
    <t xml:space="preserve">22:19:00</t>
  </si>
  <si>
    <t xml:space="preserve">10:22:00</t>
  </si>
  <si>
    <t xml:space="preserve">PMC79257SZ</t>
  </si>
  <si>
    <t xml:space="preserve">772-42710528</t>
  </si>
  <si>
    <t xml:space="preserve">21:45:00</t>
  </si>
  <si>
    <t xml:space="preserve">03:44:00</t>
  </si>
  <si>
    <t xml:space="preserve">03:51:00</t>
  </si>
  <si>
    <t xml:space="preserve">PMC66551SZ</t>
  </si>
  <si>
    <t xml:space="preserve">772-97177887</t>
  </si>
  <si>
    <t xml:space="preserve">23:12:00</t>
  </si>
  <si>
    <t xml:space="preserve">22:50:00</t>
  </si>
  <si>
    <t xml:space="preserve">15:26:00</t>
  </si>
  <si>
    <t xml:space="preserve">BT4219**</t>
  </si>
  <si>
    <t xml:space="preserve">12:23:00</t>
  </si>
  <si>
    <t xml:space="preserve">772-37771067</t>
  </si>
  <si>
    <t xml:space="preserve">21:29:00</t>
  </si>
  <si>
    <t xml:space="preserve">21:57:00</t>
  </si>
  <si>
    <t xml:space="preserve">PMC42974SZ</t>
  </si>
  <si>
    <t xml:space="preserve">12:06:00</t>
  </si>
  <si>
    <t xml:space="preserve">772-36505658</t>
  </si>
  <si>
    <t xml:space="preserve">16:36:00</t>
  </si>
  <si>
    <t xml:space="preserve">13:33:00</t>
  </si>
  <si>
    <t xml:space="preserve">PMC52126SZ</t>
  </si>
  <si>
    <t xml:space="preserve">01:55:00</t>
  </si>
  <si>
    <t xml:space="preserve">772-77148269</t>
  </si>
  <si>
    <t xml:space="preserve">23:49:00</t>
  </si>
  <si>
    <t xml:space="preserve">00:24:00</t>
  </si>
  <si>
    <t xml:space="preserve">PMC35518SZ</t>
  </si>
  <si>
    <t xml:space="preserve">772-24851134</t>
  </si>
  <si>
    <t xml:space="preserve">22:52:00</t>
  </si>
  <si>
    <t xml:space="preserve">08:25:00</t>
  </si>
  <si>
    <t xml:space="preserve">06:12:00</t>
  </si>
  <si>
    <t xml:space="preserve">BT6159**</t>
  </si>
  <si>
    <t xml:space="preserve">09:02:00</t>
  </si>
  <si>
    <t xml:space="preserve">772-45132643</t>
  </si>
  <si>
    <t xml:space="preserve">16:47:00</t>
  </si>
  <si>
    <t xml:space="preserve">10:48:00</t>
  </si>
  <si>
    <t xml:space="preserve">23:56:00</t>
  </si>
  <si>
    <t xml:space="preserve">PMC72097SZ</t>
  </si>
  <si>
    <t xml:space="preserve">12:27:00</t>
  </si>
  <si>
    <t xml:space="preserve">772-45815464</t>
  </si>
  <si>
    <t xml:space="preserve">11:36:00</t>
  </si>
  <si>
    <t xml:space="preserve">08:06:00</t>
  </si>
  <si>
    <t xml:space="preserve">PMC37239SZ</t>
  </si>
  <si>
    <t xml:space="preserve">772-34667660</t>
  </si>
  <si>
    <t xml:space="preserve">20:33:00</t>
  </si>
  <si>
    <t xml:space="preserve">12:41:00</t>
  </si>
  <si>
    <t xml:space="preserve">16:58:00</t>
  </si>
  <si>
    <t xml:space="preserve">PMC93866SZ</t>
  </si>
  <si>
    <t xml:space="preserve">01:09:00</t>
  </si>
  <si>
    <t xml:space="preserve">772-34398112</t>
  </si>
  <si>
    <t xml:space="preserve">15:02:00</t>
  </si>
  <si>
    <t xml:space="preserve">16:11:00</t>
  </si>
  <si>
    <t xml:space="preserve">BT1840**</t>
  </si>
  <si>
    <t xml:space="preserve">772-17146692</t>
  </si>
  <si>
    <t xml:space="preserve">16:19:00</t>
  </si>
  <si>
    <t xml:space="preserve">13:05:00</t>
  </si>
  <si>
    <t xml:space="preserve">12:35:00</t>
  </si>
  <si>
    <t xml:space="preserve">PMC90802SZ</t>
  </si>
  <si>
    <t xml:space="preserve">07:19:00</t>
  </si>
  <si>
    <t xml:space="preserve">772-46872153</t>
  </si>
  <si>
    <t xml:space="preserve">16:30:00</t>
  </si>
  <si>
    <t xml:space="preserve">13:54:00</t>
  </si>
  <si>
    <t xml:space="preserve">05:19:00</t>
  </si>
  <si>
    <t xml:space="preserve">PMC88885SZ</t>
  </si>
  <si>
    <t xml:space="preserve">06:41:00</t>
  </si>
  <si>
    <t xml:space="preserve">772-63328758</t>
  </si>
  <si>
    <t xml:space="preserve">10:02:00</t>
  </si>
  <si>
    <t xml:space="preserve">20:22:00</t>
  </si>
  <si>
    <t xml:space="preserve">21:02:00</t>
  </si>
  <si>
    <t xml:space="preserve">PMC65145SZ</t>
  </si>
  <si>
    <t xml:space="preserve">00:42:00</t>
  </si>
  <si>
    <t xml:space="preserve">772-71881073</t>
  </si>
  <si>
    <t xml:space="preserve">08:08:00</t>
  </si>
  <si>
    <t xml:space="preserve">22:55:00</t>
  </si>
  <si>
    <t xml:space="preserve">PMC47232SZ</t>
  </si>
  <si>
    <t xml:space="preserve">03:46:00</t>
  </si>
  <si>
    <t xml:space="preserve">772-78465160</t>
  </si>
  <si>
    <t xml:space="preserve">16:24:00</t>
  </si>
  <si>
    <t xml:space="preserve">10:49:00</t>
  </si>
  <si>
    <t xml:space="preserve">06:14:00</t>
  </si>
  <si>
    <t xml:space="preserve">BT1845**</t>
  </si>
  <si>
    <t xml:space="preserve">772-79634348</t>
  </si>
  <si>
    <t xml:space="preserve">18:27:00</t>
  </si>
  <si>
    <t xml:space="preserve">19:22:00</t>
  </si>
  <si>
    <t xml:space="preserve">12:02:00</t>
  </si>
  <si>
    <t xml:space="preserve">PMC58130SZ</t>
  </si>
  <si>
    <t xml:space="preserve">772-72208809</t>
  </si>
  <si>
    <t xml:space="preserve">12:15:00</t>
  </si>
  <si>
    <t xml:space="preserve">PMC74514SZ</t>
  </si>
  <si>
    <t xml:space="preserve">772-91611855</t>
  </si>
  <si>
    <t xml:space="preserve">07:23:00</t>
  </si>
  <si>
    <t xml:space="preserve">PMC33981SZ</t>
  </si>
  <si>
    <t xml:space="preserve">03:22:00</t>
  </si>
  <si>
    <t xml:space="preserve">VAL</t>
  </si>
  <si>
    <t xml:space="preserve">772-10504716</t>
  </si>
  <si>
    <t xml:space="preserve">11:24:00</t>
  </si>
  <si>
    <t xml:space="preserve">20:09:00</t>
  </si>
  <si>
    <t xml:space="preserve">19:52:00</t>
  </si>
  <si>
    <t xml:space="preserve">BT6608**</t>
  </si>
  <si>
    <t xml:space="preserve">09:38:00</t>
  </si>
  <si>
    <t xml:space="preserve">772-13436608</t>
  </si>
  <si>
    <t xml:space="preserve">17:52:00</t>
  </si>
  <si>
    <t xml:space="preserve">16:05:00</t>
  </si>
  <si>
    <t xml:space="preserve">PMC84264SZ</t>
  </si>
  <si>
    <t xml:space="preserve">08:13:00</t>
  </si>
  <si>
    <t xml:space="preserve">772-54863118</t>
  </si>
  <si>
    <t xml:space="preserve">16:45:00</t>
  </si>
  <si>
    <t xml:space="preserve">14:30:00</t>
  </si>
  <si>
    <t xml:space="preserve">PMC34832SZ</t>
  </si>
  <si>
    <t xml:space="preserve">02:36:00</t>
  </si>
  <si>
    <t xml:space="preserve">772-43045945</t>
  </si>
  <si>
    <t xml:space="preserve">15:48:00</t>
  </si>
  <si>
    <t xml:space="preserve">04:56:00</t>
  </si>
  <si>
    <t xml:space="preserve">17:42:00</t>
  </si>
  <si>
    <t xml:space="preserve">PMC24509SZ</t>
  </si>
  <si>
    <t xml:space="preserve">772-27120592</t>
  </si>
  <si>
    <t xml:space="preserve">13:40:00</t>
  </si>
  <si>
    <t xml:space="preserve">06:32:00</t>
  </si>
  <si>
    <t xml:space="preserve">02:50:00</t>
  </si>
  <si>
    <t xml:space="preserve">PMC41880SZ</t>
  </si>
  <si>
    <t xml:space="preserve">07:01:00</t>
  </si>
  <si>
    <t xml:space="preserve">772-20504462</t>
  </si>
  <si>
    <t xml:space="preserve">10:43:00</t>
  </si>
  <si>
    <t xml:space="preserve">01:20:00</t>
  </si>
  <si>
    <t xml:space="preserve">07:18:00</t>
  </si>
  <si>
    <t xml:space="preserve">PMC64337SZ</t>
  </si>
  <si>
    <t xml:space="preserve">10:29:00</t>
  </si>
  <si>
    <t xml:space="preserve">772-22676367</t>
  </si>
  <si>
    <t xml:space="preserve">14:47:00</t>
  </si>
  <si>
    <t xml:space="preserve">22:58:00</t>
  </si>
  <si>
    <t xml:space="preserve">03:08:00</t>
  </si>
  <si>
    <t xml:space="preserve">PMC46781SZ</t>
  </si>
  <si>
    <t xml:space="preserve">03:40:00</t>
  </si>
  <si>
    <t xml:space="preserve">772-21634411</t>
  </si>
  <si>
    <t xml:space="preserve">06:08:00</t>
  </si>
  <si>
    <t xml:space="preserve">PMC58469SZ</t>
  </si>
  <si>
    <t xml:space="preserve">05:22:00</t>
  </si>
  <si>
    <t xml:space="preserve">772-76480381</t>
  </si>
  <si>
    <t xml:space="preserve">17:10:00</t>
  </si>
  <si>
    <t xml:space="preserve">04:44:00</t>
  </si>
  <si>
    <t xml:space="preserve">PMC23510SZ</t>
  </si>
  <si>
    <t xml:space="preserve">02:34:00</t>
  </si>
  <si>
    <t xml:space="preserve">772-71213729</t>
  </si>
  <si>
    <t xml:space="preserve">21:26:00</t>
  </si>
  <si>
    <t xml:space="preserve">20:56:00</t>
  </si>
  <si>
    <t xml:space="preserve">15:23:00</t>
  </si>
  <si>
    <t xml:space="preserve">BT8044**</t>
  </si>
  <si>
    <t xml:space="preserve">772-14896633</t>
  </si>
  <si>
    <t xml:space="preserve">23:36:00</t>
  </si>
  <si>
    <t xml:space="preserve">03:25:00</t>
  </si>
  <si>
    <t xml:space="preserve">08:01:00</t>
  </si>
  <si>
    <t xml:space="preserve">BT9904**</t>
  </si>
  <si>
    <t xml:space="preserve">01:56:00</t>
  </si>
  <si>
    <t xml:space="preserve">772-91908705</t>
  </si>
  <si>
    <t xml:space="preserve">08:03:00</t>
  </si>
  <si>
    <t xml:space="preserve">23:00:00</t>
  </si>
  <si>
    <t xml:space="preserve">20:10:00</t>
  </si>
  <si>
    <t xml:space="preserve">PMC55503SZ</t>
  </si>
  <si>
    <t xml:space="preserve">11:38:00</t>
  </si>
  <si>
    <t xml:space="preserve">772-94660685</t>
  </si>
  <si>
    <t xml:space="preserve">19:21:00</t>
  </si>
  <si>
    <t xml:space="preserve">14:19:00</t>
  </si>
  <si>
    <t xml:space="preserve">18:42:00</t>
  </si>
  <si>
    <t xml:space="preserve">BT6640**</t>
  </si>
  <si>
    <t xml:space="preserve">09:41:00</t>
  </si>
  <si>
    <t xml:space="preserve">772-22792438</t>
  </si>
  <si>
    <t xml:space="preserve">09:55:00</t>
  </si>
  <si>
    <t xml:space="preserve">01:38:00</t>
  </si>
  <si>
    <t xml:space="preserve">PMC18866SZ</t>
  </si>
  <si>
    <t xml:space="preserve">12:01:00</t>
  </si>
  <si>
    <t xml:space="preserve">772-83933319</t>
  </si>
  <si>
    <t xml:space="preserve">20:11:00</t>
  </si>
  <si>
    <t xml:space="preserve">16:22:00</t>
  </si>
  <si>
    <t xml:space="preserve">PMC24530SZ</t>
  </si>
  <si>
    <t xml:space="preserve">07:07:00</t>
  </si>
  <si>
    <t xml:space="preserve">SERVICE CHALLAN EXPORT</t>
  </si>
  <si>
    <t xml:space="preserve">CARRIER:SZ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</si>
  <si>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</si>
  <si>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</si>
  <si>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</si>
  <si>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</si>
  <si>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</si>
  <si>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</si>
  <si>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</si>
  <si>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</si>
  <si>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</si>
  <si>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</si>
  <si>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</si>
  <si>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</si>
  <si>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AWB NO</t>
  </si>
  <si>
    <t xml:space="preserve">RCS DATE</t>
  </si>
  <si>
    <t xml:space="preserve">RCS TIME</t>
  </si>
  <si>
    <t xml:space="preserve">ULD TIME</t>
  </si>
  <si>
    <t xml:space="preserve">BILLING SHC</t>
  </si>
  <si>
    <t xml:space="preserve">DEM DAYS</t>
  </si>
  <si>
    <t xml:space="preserve">AIR SIDE DEM AMT</t>
  </si>
  <si>
    <t xml:space="preserve">AIR SIDE DEM AMT INC GST</t>
  </si>
  <si>
    <t xml:space="preserve">OFFLOADING DETAILS SZ</t>
  </si>
  <si>
    <t xml:space="preserve">S.NO</t>
  </si>
  <si>
    <t xml:space="preserve">AWBNo</t>
  </si>
  <si>
    <t xml:space="preserve">Flight No</t>
  </si>
  <si>
    <t xml:space="preserve">Date</t>
  </si>
  <si>
    <t xml:space="preserve">ORG</t>
  </si>
  <si>
    <t xml:space="preserve">DES</t>
  </si>
  <si>
    <t xml:space="preserve">GRS WGT</t>
  </si>
  <si>
    <t xml:space="preserve">CH. WGT</t>
  </si>
  <si>
    <t xml:space="preserve">RATE</t>
  </si>
  <si>
    <t xml:space="preserve">AMOUNT (Inc.Tax)</t>
  </si>
  <si>
    <t xml:space="preserve">Grand Total</t>
  </si>
  <si>
    <t xml:space="preserve">RATE CARD - SZ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</si>
  <si>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</si>
  <si>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</si>
  <si>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</si>
  <si>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</si>
  <si>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</si>
  <si>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</si>
  <si>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</si>
  <si>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PER</t>
  </si>
  <si>
    <t xml:space="preserve">TPV</t>
  </si>
  <si>
    <t xml:space="preserve">EXPORTS HANDLING DEBIT NOTE</t>
  </si>
  <si>
    <t xml:space="preserve">S NO.</t>
  </si>
  <si>
    <t xml:space="preserve">FLIGHT NO.</t>
  </si>
  <si>
    <t xml:space="preserve">ACTUAL TONNAGE/RATE</t>
  </si>
  <si>
    <t xml:space="preserve">INVOICE TONNAGE/RATE</t>
  </si>
  <si>
    <t xml:space="preserve">DIFFERENCE</t>
  </si>
  <si>
    <t xml:space="preserve">AMOUNT(w/o.Tax)</t>
  </si>
  <si>
    <t xml:space="preserve">Amount (Inc.Tax)</t>
  </si>
  <si>
    <t xml:space="preserve">CARGO HANDLING DEBIT</t>
  </si>
  <si>
    <t xml:space="preserve">165911*10.05</t>
  </si>
  <si>
    <t xml:space="preserve">165911*3.48</t>
  </si>
  <si>
    <t xml:space="preserve">165911*6.57</t>
  </si>
  <si>
    <t xml:space="preserve">TRANSFER PALLETIZATION DIFF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</si>
</sst>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0" t="s">
        <v>29</v>
      </c>
      <c r="B2" s="2" t="n">
        <v>46024</v>
      </c>
      <c r="C2" s="3" t="s">
        <v>30</v>
      </c>
      <c r="D2" s="3" t="s">
        <v>31</v>
      </c>
      <c r="E2" s="3" t="s">
        <v>32</v>
      </c>
      <c r="F2" s="3" t="s">
        <v>33</v>
      </c>
      <c r="G2" s="0" t="n">
        <v>162</v>
      </c>
      <c r="H2" s="0" t="n">
        <v>559.2</v>
      </c>
      <c r="I2" s="0" t="n">
        <v>839.23</v>
      </c>
      <c r="J2" s="2" t="n">
        <v>46021</v>
      </c>
      <c r="K2" s="3" t="s">
        <v>34</v>
      </c>
      <c r="L2" s="2" t="n">
        <v>46022</v>
      </c>
      <c r="M2" s="3" t="s">
        <v>35</v>
      </c>
      <c r="N2" s="2" t="n">
        <v>46022</v>
      </c>
      <c r="O2" s="3" t="s">
        <v>36</v>
      </c>
      <c r="P2" s="3" t="s">
        <v>37</v>
      </c>
      <c r="Q2" s="2" t="n">
        <v>46024</v>
      </c>
      <c r="R2" s="3" t="s">
        <v>38</v>
      </c>
      <c r="S2" s="3" t="s">
        <v>39</v>
      </c>
      <c r="T2" s="3" t="s">
        <v>40</v>
      </c>
      <c r="U2" s="3" t="s">
        <v>40</v>
      </c>
      <c r="V2" s="3" t="s">
        <v>40</v>
      </c>
      <c r="W2" s="0" t="n">
        <v>1.4317</v>
      </c>
      <c r="X2" s="0" t="n">
        <v>1.5</v>
      </c>
      <c r="Y2" s="0" t="n">
        <v>-0.0683</v>
      </c>
      <c r="Z2" s="0" t="n">
        <v>-1</v>
      </c>
      <c r="AA2" s="0" t="n">
        <v>3</v>
      </c>
      <c r="AB2" s="4" t="n">
        <f aca="false">I2*AA2*Z2</f>
        <v>-2517.69</v>
      </c>
      <c r="AC2" s="4" t="n">
        <f aca="false">AB2*1.18</f>
        <v>-2970.8742</v>
      </c>
    </row>
    <row r="3" customFormat="false" ht="15" hidden="false" customHeight="false" outlineLevel="0" collapsed="false">
      <c r="A3" s="0" t="s">
        <v>41</v>
      </c>
      <c r="B3" s="2" t="n">
        <v>46025</v>
      </c>
      <c r="C3" s="3" t="s">
        <v>42</v>
      </c>
      <c r="D3" s="3" t="s">
        <v>31</v>
      </c>
      <c r="E3" s="3" t="s">
        <v>32</v>
      </c>
      <c r="F3" s="3" t="s">
        <v>43</v>
      </c>
      <c r="G3" s="0" t="n">
        <v>8</v>
      </c>
      <c r="H3" s="0" t="n">
        <v>1820.94</v>
      </c>
      <c r="I3" s="0" t="n">
        <v>1821.24</v>
      </c>
      <c r="J3" s="2" t="n">
        <v>46024</v>
      </c>
      <c r="K3" s="3" t="s">
        <v>44</v>
      </c>
      <c r="L3" s="2" t="n">
        <v>46025</v>
      </c>
      <c r="M3" s="3" t="s">
        <v>45</v>
      </c>
      <c r="N3" s="2" t="n">
        <v>46024</v>
      </c>
      <c r="O3" s="3" t="s">
        <v>46</v>
      </c>
      <c r="P3" s="3" t="s">
        <v>47</v>
      </c>
      <c r="Q3" s="2" t="n">
        <v>46025</v>
      </c>
      <c r="R3" s="3" t="s">
        <v>48</v>
      </c>
      <c r="S3" s="3" t="s">
        <v>49</v>
      </c>
      <c r="T3" s="3" t="s">
        <v>40</v>
      </c>
      <c r="U3" s="3" t="s">
        <v>40</v>
      </c>
      <c r="V3" s="3" t="s">
        <v>40</v>
      </c>
      <c r="W3" s="0" t="n">
        <v>4.3669</v>
      </c>
      <c r="X3" s="0" t="n">
        <v>1.5</v>
      </c>
      <c r="Y3" s="0" t="n">
        <v>2.8669</v>
      </c>
      <c r="Z3" s="0" t="n">
        <v>3</v>
      </c>
      <c r="AA3" s="0" t="n">
        <v>3</v>
      </c>
      <c r="AB3" s="4" t="n">
        <f aca="false">I3*AA3*Z3</f>
        <v>16391.16</v>
      </c>
      <c r="AC3" s="4" t="n">
        <f aca="false">AB3*1.18</f>
        <v>19341.5688</v>
      </c>
    </row>
    <row r="4" customFormat="false" ht="15" hidden="false" customHeight="false" outlineLevel="0" collapsed="false">
      <c r="A4" s="0" t="s">
        <v>29</v>
      </c>
      <c r="B4" s="2" t="n">
        <v>46025</v>
      </c>
      <c r="C4" s="3" t="s">
        <v>50</v>
      </c>
      <c r="D4" s="3" t="s">
        <v>31</v>
      </c>
      <c r="E4" s="3" t="s">
        <v>32</v>
      </c>
      <c r="F4" s="3" t="s">
        <v>51</v>
      </c>
      <c r="G4" s="0" t="n">
        <v>203</v>
      </c>
      <c r="H4" s="0" t="n">
        <v>1708.64</v>
      </c>
      <c r="I4" s="0" t="n">
        <v>1709.13</v>
      </c>
      <c r="J4" s="2" t="n">
        <v>46024</v>
      </c>
      <c r="K4" s="3" t="s">
        <v>52</v>
      </c>
      <c r="L4" s="2" t="n">
        <v>46024</v>
      </c>
      <c r="M4" s="3" t="s">
        <v>53</v>
      </c>
      <c r="N4" s="2" t="n">
        <v>46025</v>
      </c>
      <c r="O4" s="3" t="s">
        <v>54</v>
      </c>
      <c r="P4" s="3" t="s">
        <v>55</v>
      </c>
      <c r="Q4" s="2" t="n">
        <v>46025</v>
      </c>
      <c r="R4" s="3" t="s">
        <v>56</v>
      </c>
      <c r="S4" s="3" t="s">
        <v>57</v>
      </c>
      <c r="T4" s="3" t="s">
        <v>40</v>
      </c>
      <c r="U4" s="3" t="s">
        <v>40</v>
      </c>
      <c r="V4" s="3" t="s">
        <v>40</v>
      </c>
      <c r="W4" s="0" t="n">
        <v>2.1135</v>
      </c>
      <c r="X4" s="0" t="n">
        <v>1.5</v>
      </c>
      <c r="Y4" s="0" t="n">
        <v>0.6135</v>
      </c>
      <c r="Z4" s="0" t="n">
        <v>1</v>
      </c>
      <c r="AA4" s="0" t="n">
        <v>3</v>
      </c>
      <c r="AB4" s="4" t="n">
        <f aca="false">I4*AA4*Z4</f>
        <v>5127.39</v>
      </c>
      <c r="AC4" s="4" t="n">
        <f aca="false">AB4*1.18</f>
        <v>6050.3202</v>
      </c>
    </row>
    <row r="5" customFormat="false" ht="15" hidden="false" customHeight="false" outlineLevel="0" collapsed="false">
      <c r="A5" s="0" t="s">
        <v>29</v>
      </c>
      <c r="B5" s="2" t="n">
        <v>46025</v>
      </c>
      <c r="C5" s="3" t="s">
        <v>58</v>
      </c>
      <c r="D5" s="3" t="s">
        <v>31</v>
      </c>
      <c r="E5" s="3" t="s">
        <v>32</v>
      </c>
      <c r="F5" s="3" t="s">
        <v>51</v>
      </c>
      <c r="G5" s="0" t="n">
        <v>132</v>
      </c>
      <c r="H5" s="0" t="n">
        <v>904.4</v>
      </c>
      <c r="I5" s="0" t="n">
        <v>904.85</v>
      </c>
      <c r="J5" s="2" t="n">
        <v>46022</v>
      </c>
      <c r="K5" s="3" t="s">
        <v>59</v>
      </c>
      <c r="L5" s="2" t="n">
        <v>46022</v>
      </c>
      <c r="M5" s="3" t="s">
        <v>60</v>
      </c>
      <c r="N5" s="2" t="n">
        <v>46022</v>
      </c>
      <c r="O5" s="3" t="s">
        <v>61</v>
      </c>
      <c r="P5" s="3" t="s">
        <v>62</v>
      </c>
      <c r="Q5" s="2" t="n">
        <v>46025</v>
      </c>
      <c r="R5" s="3" t="s">
        <v>63</v>
      </c>
      <c r="S5" s="3" t="s">
        <v>49</v>
      </c>
      <c r="T5" s="3" t="s">
        <v>40</v>
      </c>
      <c r="U5" s="3" t="s">
        <v>40</v>
      </c>
      <c r="V5" s="3" t="s">
        <v>40</v>
      </c>
      <c r="W5" s="0" t="n">
        <v>4.3232</v>
      </c>
      <c r="X5" s="0" t="n">
        <v>1.5</v>
      </c>
      <c r="Y5" s="0" t="n">
        <v>2.8232</v>
      </c>
      <c r="Z5" s="0" t="n">
        <v>3</v>
      </c>
      <c r="AA5" s="0" t="n">
        <v>3</v>
      </c>
      <c r="AB5" s="4" t="n">
        <f aca="false">I5*AA5*Z5</f>
        <v>8143.65</v>
      </c>
      <c r="AC5" s="4" t="n">
        <f aca="false">AB5*1.18</f>
        <v>9609.507</v>
      </c>
    </row>
    <row r="6" customFormat="false" ht="15" hidden="false" customHeight="false" outlineLevel="0" collapsed="false">
      <c r="A6" s="0" t="s">
        <v>29</v>
      </c>
      <c r="B6" s="2" t="n">
        <v>46025</v>
      </c>
      <c r="C6" s="3" t="s">
        <v>64</v>
      </c>
      <c r="D6" s="3" t="s">
        <v>31</v>
      </c>
      <c r="E6" s="3" t="s">
        <v>32</v>
      </c>
      <c r="F6" s="3" t="s">
        <v>33</v>
      </c>
      <c r="G6" s="0" t="n">
        <v>70</v>
      </c>
      <c r="H6" s="0" t="n">
        <v>757.29</v>
      </c>
      <c r="I6" s="0" t="n">
        <v>1136.27</v>
      </c>
      <c r="J6" s="2" t="n">
        <v>46024</v>
      </c>
      <c r="K6" s="3" t="s">
        <v>65</v>
      </c>
      <c r="L6" s="2" t="n">
        <v>46024</v>
      </c>
      <c r="M6" s="3" t="s">
        <v>66</v>
      </c>
      <c r="N6" s="2" t="n">
        <v>46024</v>
      </c>
      <c r="O6" s="3" t="s">
        <v>67</v>
      </c>
      <c r="P6" s="3" t="s">
        <v>68</v>
      </c>
      <c r="Q6" s="2" t="n">
        <v>46025</v>
      </c>
      <c r="R6" s="3" t="s">
        <v>69</v>
      </c>
      <c r="S6" s="3" t="s">
        <v>70</v>
      </c>
      <c r="T6" s="3" t="s">
        <v>71</v>
      </c>
      <c r="U6" s="3" t="s">
        <v>71</v>
      </c>
      <c r="V6" s="3" t="s">
        <v>71</v>
      </c>
      <c r="W6" s="0" t="n">
        <v>0.2151</v>
      </c>
      <c r="X6" s="0" t="n">
        <v>1.5</v>
      </c>
      <c r="Y6" s="0" t="n">
        <v>-1.2849</v>
      </c>
      <c r="Z6" s="0" t="n">
        <v>-1</v>
      </c>
      <c r="AA6" s="0" t="n">
        <v>12</v>
      </c>
      <c r="AB6" s="4" t="n">
        <f aca="false">I6*AA6*Z6</f>
        <v>-13635.24</v>
      </c>
      <c r="AC6" s="4" t="n">
        <f aca="false">AB6*1.18</f>
        <v>-16089.5832</v>
      </c>
    </row>
    <row r="7" customFormat="false" ht="15" hidden="false" customHeight="false" outlineLevel="0" collapsed="false">
      <c r="A7" s="0" t="s">
        <v>29</v>
      </c>
      <c r="B7" s="2" t="n">
        <v>46025</v>
      </c>
      <c r="C7" s="3" t="s">
        <v>72</v>
      </c>
      <c r="D7" s="3" t="s">
        <v>73</v>
      </c>
      <c r="E7" s="3" t="s">
        <v>32</v>
      </c>
      <c r="F7" s="3" t="s">
        <v>51</v>
      </c>
      <c r="G7" s="0" t="n">
        <v>193</v>
      </c>
      <c r="H7" s="0" t="n">
        <v>1756.62</v>
      </c>
      <c r="I7" s="0" t="n">
        <v>1932.66</v>
      </c>
      <c r="J7" s="2" t="n">
        <v>46023</v>
      </c>
      <c r="K7" s="3" t="s">
        <v>74</v>
      </c>
      <c r="L7" s="2" t="n">
        <v>46024</v>
      </c>
      <c r="M7" s="3" t="s">
        <v>75</v>
      </c>
      <c r="N7" s="2" t="n">
        <v>46024</v>
      </c>
      <c r="O7" s="3" t="s">
        <v>76</v>
      </c>
      <c r="P7" s="3" t="s">
        <v>77</v>
      </c>
      <c r="Q7" s="2" t="n">
        <v>46025</v>
      </c>
      <c r="R7" s="3" t="s">
        <v>78</v>
      </c>
      <c r="S7" s="3" t="s">
        <v>79</v>
      </c>
      <c r="T7" s="3" t="s">
        <v>80</v>
      </c>
      <c r="U7" s="3" t="s">
        <v>80</v>
      </c>
      <c r="V7" s="3" t="s">
        <v>80</v>
      </c>
      <c r="W7" s="0" t="n">
        <v>5.3588</v>
      </c>
      <c r="X7" s="0" t="n">
        <v>1.5</v>
      </c>
      <c r="Y7" s="0" t="n">
        <v>3.8588</v>
      </c>
      <c r="Z7" s="0" t="n">
        <v>4</v>
      </c>
      <c r="AA7" s="0" t="n">
        <v>3</v>
      </c>
      <c r="AB7" s="4" t="n">
        <f aca="false">I7*AA7*Z7</f>
        <v>23191.92</v>
      </c>
      <c r="AC7" s="4" t="n">
        <f aca="false">AB7*1.18</f>
        <v>27366.4656</v>
      </c>
    </row>
    <row r="8" customFormat="false" ht="15" hidden="false" customHeight="false" outlineLevel="0" collapsed="false">
      <c r="A8" s="0" t="s">
        <v>41</v>
      </c>
      <c r="B8" s="2" t="n">
        <v>46026</v>
      </c>
      <c r="C8" s="3" t="s">
        <v>81</v>
      </c>
      <c r="D8" s="3" t="s">
        <v>73</v>
      </c>
      <c r="E8" s="3" t="s">
        <v>32</v>
      </c>
      <c r="F8" s="3" t="s">
        <v>43</v>
      </c>
      <c r="G8" s="0" t="n">
        <v>54</v>
      </c>
      <c r="H8" s="0" t="n">
        <v>636.73</v>
      </c>
      <c r="I8" s="0" t="n">
        <v>955.21</v>
      </c>
      <c r="J8" s="2" t="n">
        <v>46025</v>
      </c>
      <c r="K8" s="3" t="s">
        <v>82</v>
      </c>
      <c r="L8" s="2" t="n">
        <v>46025</v>
      </c>
      <c r="M8" s="3" t="s">
        <v>83</v>
      </c>
      <c r="N8" s="2" t="n">
        <v>46026</v>
      </c>
      <c r="O8" s="3" t="s">
        <v>84</v>
      </c>
      <c r="P8" s="3" t="s">
        <v>85</v>
      </c>
      <c r="Q8" s="2" t="n">
        <v>46026</v>
      </c>
      <c r="R8" s="3" t="s">
        <v>86</v>
      </c>
      <c r="S8" s="3" t="s">
        <v>87</v>
      </c>
      <c r="T8" s="3" t="s">
        <v>80</v>
      </c>
      <c r="U8" s="3" t="s">
        <v>80</v>
      </c>
      <c r="V8" s="3" t="s">
        <v>80</v>
      </c>
      <c r="W8" s="0" t="n">
        <v>2.9179</v>
      </c>
      <c r="X8" s="0" t="n">
        <v>1.5</v>
      </c>
      <c r="Y8" s="0" t="n">
        <v>1.4179</v>
      </c>
      <c r="Z8" s="0" t="n">
        <v>1</v>
      </c>
      <c r="AA8" s="0" t="n">
        <v>3</v>
      </c>
      <c r="AB8" s="4" t="n">
        <f aca="false">I8*AA8*Z8</f>
        <v>2865.63</v>
      </c>
      <c r="AC8" s="4" t="n">
        <f aca="false">AB8*1.18</f>
        <v>3381.4434</v>
      </c>
    </row>
    <row r="9" customFormat="false" ht="15" hidden="false" customHeight="false" outlineLevel="0" collapsed="false">
      <c r="A9" s="0" t="s">
        <v>29</v>
      </c>
      <c r="B9" s="2" t="n">
        <v>46026</v>
      </c>
      <c r="C9" s="3" t="s">
        <v>88</v>
      </c>
      <c r="D9" s="3" t="s">
        <v>31</v>
      </c>
      <c r="E9" s="3" t="s">
        <v>32</v>
      </c>
      <c r="F9" s="3" t="s">
        <v>33</v>
      </c>
      <c r="G9" s="0" t="n">
        <v>96</v>
      </c>
      <c r="H9" s="0" t="n">
        <v>1444.67</v>
      </c>
      <c r="I9" s="0" t="n">
        <v>1589.42</v>
      </c>
      <c r="J9" s="2" t="n">
        <v>46024</v>
      </c>
      <c r="K9" s="3" t="s">
        <v>89</v>
      </c>
      <c r="L9" s="2" t="n">
        <v>46024</v>
      </c>
      <c r="M9" s="3" t="s">
        <v>90</v>
      </c>
      <c r="N9" s="2" t="n">
        <v>46025</v>
      </c>
      <c r="O9" s="3" t="s">
        <v>91</v>
      </c>
      <c r="P9" s="3" t="s">
        <v>92</v>
      </c>
      <c r="Q9" s="2" t="n">
        <v>46026</v>
      </c>
      <c r="R9" s="3" t="s">
        <v>93</v>
      </c>
      <c r="S9" s="3" t="s">
        <v>94</v>
      </c>
      <c r="T9" s="3" t="s">
        <v>95</v>
      </c>
      <c r="U9" s="3" t="s">
        <v>95</v>
      </c>
      <c r="V9" s="3" t="s">
        <v>95</v>
      </c>
      <c r="W9" s="0" t="n">
        <v>0.5841</v>
      </c>
      <c r="X9" s="0" t="n">
        <v>1.5</v>
      </c>
      <c r="Y9" s="0" t="n">
        <v>-0.9159</v>
      </c>
      <c r="Z9" s="0" t="n">
        <v>-1</v>
      </c>
      <c r="AA9" s="0" t="n">
        <v>3</v>
      </c>
      <c r="AB9" s="4" t="n">
        <f aca="false">I9*AA9*Z9</f>
        <v>-4768.26</v>
      </c>
      <c r="AC9" s="4" t="n">
        <f aca="false">AB9*1.18</f>
        <v>-5626.5468</v>
      </c>
    </row>
    <row r="10" customFormat="false" ht="15" hidden="false" customHeight="false" outlineLevel="0" collapsed="false">
      <c r="A10" s="0" t="s">
        <v>29</v>
      </c>
      <c r="B10" s="2" t="n">
        <v>46026</v>
      </c>
      <c r="C10" s="3" t="s">
        <v>96</v>
      </c>
      <c r="D10" s="3" t="s">
        <v>31</v>
      </c>
      <c r="E10" s="3" t="s">
        <v>32</v>
      </c>
      <c r="F10" s="3" t="s">
        <v>51</v>
      </c>
      <c r="G10" s="0" t="n">
        <v>123</v>
      </c>
      <c r="H10" s="0" t="n">
        <v>1418.36</v>
      </c>
      <c r="I10" s="0" t="n">
        <v>1560.35</v>
      </c>
      <c r="J10" s="2" t="n">
        <v>46024</v>
      </c>
      <c r="K10" s="3" t="s">
        <v>97</v>
      </c>
      <c r="L10" s="2" t="n">
        <v>46025</v>
      </c>
      <c r="M10" s="3" t="s">
        <v>98</v>
      </c>
      <c r="N10" s="2" t="n">
        <v>46025</v>
      </c>
      <c r="O10" s="3" t="s">
        <v>99</v>
      </c>
      <c r="P10" s="3" t="s">
        <v>100</v>
      </c>
      <c r="Q10" s="2" t="n">
        <v>46026</v>
      </c>
      <c r="R10" s="3" t="s">
        <v>101</v>
      </c>
      <c r="S10" s="3" t="s">
        <v>49</v>
      </c>
      <c r="T10" s="3" t="s">
        <v>40</v>
      </c>
      <c r="U10" s="3" t="s">
        <v>40</v>
      </c>
      <c r="V10" s="3" t="s">
        <v>40</v>
      </c>
      <c r="W10" s="0" t="n">
        <v>2.983</v>
      </c>
      <c r="X10" s="0" t="n">
        <v>1.5</v>
      </c>
      <c r="Y10" s="0" t="n">
        <v>1.483</v>
      </c>
      <c r="Z10" s="0" t="n">
        <v>1</v>
      </c>
      <c r="AA10" s="0" t="n">
        <v>3</v>
      </c>
      <c r="AB10" s="4" t="n">
        <f aca="false">I10*AA10*Z10</f>
        <v>4681.05</v>
      </c>
      <c r="AC10" s="4" t="n">
        <f aca="false">AB10*1.18</f>
        <v>5523.639</v>
      </c>
    </row>
    <row r="11" customFormat="false" ht="15" hidden="false" customHeight="false" outlineLevel="0" collapsed="false">
      <c r="A11" s="0" t="s">
        <v>41</v>
      </c>
      <c r="B11" s="2" t="n">
        <v>46027</v>
      </c>
      <c r="C11" s="3" t="s">
        <v>102</v>
      </c>
      <c r="D11" s="3" t="s">
        <v>31</v>
      </c>
      <c r="E11" s="3" t="s">
        <v>32</v>
      </c>
      <c r="F11" s="3" t="s">
        <v>51</v>
      </c>
      <c r="G11" s="0" t="n">
        <v>34</v>
      </c>
      <c r="H11" s="0" t="n">
        <v>1540.44</v>
      </c>
      <c r="I11" s="0" t="n">
        <v>1540.57</v>
      </c>
      <c r="J11" s="2" t="n">
        <v>46024</v>
      </c>
      <c r="K11" s="3" t="s">
        <v>103</v>
      </c>
      <c r="L11" s="2" t="n">
        <v>46024</v>
      </c>
      <c r="M11" s="3" t="s">
        <v>104</v>
      </c>
      <c r="N11" s="2" t="n">
        <v>46025</v>
      </c>
      <c r="O11" s="3" t="s">
        <v>105</v>
      </c>
      <c r="P11" s="3" t="s">
        <v>106</v>
      </c>
      <c r="Q11" s="2" t="n">
        <v>46027</v>
      </c>
      <c r="R11" s="3" t="s">
        <v>107</v>
      </c>
      <c r="S11" s="3" t="s">
        <v>39</v>
      </c>
      <c r="T11" s="3" t="s">
        <v>95</v>
      </c>
      <c r="U11" s="3" t="s">
        <v>95</v>
      </c>
      <c r="V11" s="3" t="s">
        <v>95</v>
      </c>
      <c r="W11" s="0" t="n">
        <v>4.3559</v>
      </c>
      <c r="X11" s="0" t="n">
        <v>1.5</v>
      </c>
      <c r="Y11" s="0" t="n">
        <v>2.8559</v>
      </c>
      <c r="Z11" s="0" t="n">
        <v>3</v>
      </c>
      <c r="AA11" s="0" t="n">
        <v>3</v>
      </c>
      <c r="AB11" s="4" t="n">
        <f aca="false">I11*AA11*Z11</f>
        <v>13865.13</v>
      </c>
      <c r="AC11" s="4" t="n">
        <f aca="false">AB11*1.18</f>
        <v>16360.8534</v>
      </c>
    </row>
    <row r="12" customFormat="false" ht="15" hidden="false" customHeight="false" outlineLevel="0" collapsed="false">
      <c r="A12" s="0" t="s">
        <v>41</v>
      </c>
      <c r="B12" s="2" t="n">
        <v>46027</v>
      </c>
      <c r="C12" s="3" t="s">
        <v>108</v>
      </c>
      <c r="D12" s="3" t="s">
        <v>31</v>
      </c>
      <c r="E12" s="3" t="s">
        <v>32</v>
      </c>
      <c r="F12" s="3" t="s">
        <v>43</v>
      </c>
      <c r="G12" s="0" t="n">
        <v>167</v>
      </c>
      <c r="H12" s="0" t="n">
        <v>625.84</v>
      </c>
      <c r="I12" s="0" t="n">
        <v>625.91</v>
      </c>
      <c r="J12" s="2" t="n">
        <v>46026</v>
      </c>
      <c r="K12" s="3" t="s">
        <v>109</v>
      </c>
      <c r="L12" s="2" t="n">
        <v>46026</v>
      </c>
      <c r="M12" s="3" t="s">
        <v>110</v>
      </c>
      <c r="N12" s="2" t="n">
        <v>46026</v>
      </c>
      <c r="O12" s="3" t="s">
        <v>111</v>
      </c>
      <c r="P12" s="3" t="s">
        <v>112</v>
      </c>
      <c r="Q12" s="2" t="n">
        <v>46027</v>
      </c>
      <c r="R12" s="3" t="s">
        <v>113</v>
      </c>
      <c r="S12" s="3" t="s">
        <v>79</v>
      </c>
      <c r="T12" s="3" t="s">
        <v>114</v>
      </c>
      <c r="U12" s="3" t="s">
        <v>114</v>
      </c>
      <c r="V12" s="3" t="s">
        <v>114</v>
      </c>
      <c r="W12" s="0" t="n">
        <v>4.5657</v>
      </c>
      <c r="X12" s="0" t="n">
        <v>1.5</v>
      </c>
      <c r="Y12" s="0" t="n">
        <v>3.0657</v>
      </c>
      <c r="Z12" s="0" t="n">
        <v>3</v>
      </c>
      <c r="AA12" s="0" t="n">
        <v>5</v>
      </c>
      <c r="AB12" s="4" t="n">
        <f aca="false">I12*AA12*Z12</f>
        <v>9388.65</v>
      </c>
      <c r="AC12" s="4" t="n">
        <f aca="false">AB12*1.18</f>
        <v>11078.607</v>
      </c>
    </row>
    <row r="13" customFormat="false" ht="15" hidden="false" customHeight="false" outlineLevel="0" collapsed="false">
      <c r="A13" s="0" t="s">
        <v>41</v>
      </c>
      <c r="B13" s="2" t="n">
        <v>46027</v>
      </c>
      <c r="C13" s="3" t="s">
        <v>115</v>
      </c>
      <c r="D13" s="3" t="s">
        <v>31</v>
      </c>
      <c r="E13" s="3" t="s">
        <v>32</v>
      </c>
      <c r="F13" s="3" t="s">
        <v>51</v>
      </c>
      <c r="G13" s="0" t="n">
        <v>106</v>
      </c>
      <c r="H13" s="0" t="n">
        <v>431.08</v>
      </c>
      <c r="I13" s="0" t="n">
        <v>474.25</v>
      </c>
      <c r="J13" s="2" t="n">
        <v>46024</v>
      </c>
      <c r="K13" s="3" t="s">
        <v>116</v>
      </c>
      <c r="L13" s="2" t="n">
        <v>46024</v>
      </c>
      <c r="M13" s="3" t="s">
        <v>117</v>
      </c>
      <c r="N13" s="2" t="n">
        <v>46024</v>
      </c>
      <c r="O13" s="3" t="s">
        <v>118</v>
      </c>
      <c r="P13" s="3" t="s">
        <v>119</v>
      </c>
      <c r="Q13" s="2" t="n">
        <v>46027</v>
      </c>
      <c r="R13" s="3" t="s">
        <v>120</v>
      </c>
      <c r="S13" s="3" t="s">
        <v>121</v>
      </c>
      <c r="T13" s="3" t="s">
        <v>95</v>
      </c>
      <c r="U13" s="3" t="s">
        <v>95</v>
      </c>
      <c r="V13" s="3" t="s">
        <v>95</v>
      </c>
      <c r="W13" s="0" t="n">
        <v>3.5028</v>
      </c>
      <c r="X13" s="0" t="n">
        <v>1.5</v>
      </c>
      <c r="Y13" s="0" t="n">
        <v>2.0028</v>
      </c>
      <c r="Z13" s="0" t="n">
        <v>2</v>
      </c>
      <c r="AA13" s="0" t="n">
        <v>3</v>
      </c>
      <c r="AB13" s="4" t="n">
        <f aca="false">I13*AA13*Z13</f>
        <v>2845.5</v>
      </c>
      <c r="AC13" s="4" t="n">
        <f aca="false">AB13*1.18</f>
        <v>3357.69</v>
      </c>
    </row>
    <row r="14" customFormat="false" ht="15" hidden="false" customHeight="false" outlineLevel="0" collapsed="false">
      <c r="A14" s="0" t="s">
        <v>41</v>
      </c>
      <c r="B14" s="2" t="n">
        <v>46027</v>
      </c>
      <c r="C14" s="3" t="s">
        <v>122</v>
      </c>
      <c r="D14" s="3" t="s">
        <v>31</v>
      </c>
      <c r="E14" s="3" t="s">
        <v>32</v>
      </c>
      <c r="F14" s="3" t="s">
        <v>51</v>
      </c>
      <c r="G14" s="0" t="n">
        <v>97</v>
      </c>
      <c r="H14" s="0" t="n">
        <v>1116.83</v>
      </c>
      <c r="I14" s="0" t="n">
        <v>1228.7</v>
      </c>
      <c r="J14" s="2" t="n">
        <v>46026</v>
      </c>
      <c r="K14" s="3" t="s">
        <v>123</v>
      </c>
      <c r="L14" s="2" t="n">
        <v>46027</v>
      </c>
      <c r="M14" s="3" t="s">
        <v>124</v>
      </c>
      <c r="N14" s="2" t="n">
        <v>46027</v>
      </c>
      <c r="O14" s="3" t="s">
        <v>125</v>
      </c>
      <c r="P14" s="3" t="s">
        <v>126</v>
      </c>
      <c r="Q14" s="2" t="n">
        <v>46027</v>
      </c>
      <c r="R14" s="3" t="s">
        <v>127</v>
      </c>
      <c r="S14" s="3" t="s">
        <v>79</v>
      </c>
      <c r="T14" s="3" t="s">
        <v>80</v>
      </c>
      <c r="U14" s="3" t="s">
        <v>80</v>
      </c>
      <c r="V14" s="3" t="s">
        <v>80</v>
      </c>
      <c r="W14" s="0" t="n">
        <v>3.166</v>
      </c>
      <c r="X14" s="0" t="n">
        <v>1.5</v>
      </c>
      <c r="Y14" s="0" t="n">
        <v>1.666</v>
      </c>
      <c r="Z14" s="0" t="n">
        <v>2</v>
      </c>
      <c r="AA14" s="0" t="n">
        <v>3</v>
      </c>
      <c r="AB14" s="4" t="n">
        <f aca="false">I14*AA14*Z14</f>
        <v>7372.2</v>
      </c>
      <c r="AC14" s="4" t="n">
        <f aca="false">AB14*1.18</f>
        <v>8699.196</v>
      </c>
    </row>
    <row r="15" customFormat="false" ht="15" hidden="false" customHeight="false" outlineLevel="0" collapsed="false">
      <c r="A15" s="0" t="s">
        <v>29</v>
      </c>
      <c r="B15" s="2" t="n">
        <v>46027</v>
      </c>
      <c r="C15" s="3" t="s">
        <v>128</v>
      </c>
      <c r="D15" s="3" t="s">
        <v>73</v>
      </c>
      <c r="E15" s="3" t="s">
        <v>32</v>
      </c>
      <c r="F15" s="3" t="s">
        <v>51</v>
      </c>
      <c r="G15" s="0" t="n">
        <v>97</v>
      </c>
      <c r="H15" s="0" t="n">
        <v>2354.49</v>
      </c>
      <c r="I15" s="0" t="n">
        <v>3060.96</v>
      </c>
      <c r="J15" s="2" t="n">
        <v>46026</v>
      </c>
      <c r="K15" s="3" t="s">
        <v>129</v>
      </c>
      <c r="L15" s="2" t="n">
        <v>46027</v>
      </c>
      <c r="M15" s="3" t="s">
        <v>130</v>
      </c>
      <c r="N15" s="2" t="n">
        <v>46026</v>
      </c>
      <c r="O15" s="3" t="s">
        <v>131</v>
      </c>
      <c r="P15" s="3" t="s">
        <v>132</v>
      </c>
      <c r="Q15" s="2" t="n">
        <v>46027</v>
      </c>
      <c r="R15" s="3" t="s">
        <v>133</v>
      </c>
      <c r="S15" s="3" t="s">
        <v>57</v>
      </c>
      <c r="T15" s="3" t="s">
        <v>40</v>
      </c>
      <c r="U15" s="3" t="s">
        <v>40</v>
      </c>
      <c r="V15" s="3" t="s">
        <v>40</v>
      </c>
      <c r="W15" s="0" t="n">
        <v>1.7887</v>
      </c>
      <c r="X15" s="0" t="n">
        <v>1.5</v>
      </c>
      <c r="Y15" s="0" t="n">
        <v>0.2887</v>
      </c>
      <c r="Z15" s="0" t="n">
        <v>1</v>
      </c>
      <c r="AA15" s="0" t="n">
        <v>3</v>
      </c>
      <c r="AB15" s="4" t="n">
        <f aca="false">I15*AA15*Z15</f>
        <v>9182.88</v>
      </c>
      <c r="AC15" s="4" t="n">
        <f aca="false">AB15*1.18</f>
        <v>10835.7984</v>
      </c>
    </row>
    <row r="16" customFormat="false" ht="15" hidden="false" customHeight="false" outlineLevel="0" collapsed="false">
      <c r="A16" s="0" t="s">
        <v>41</v>
      </c>
      <c r="B16" s="2" t="n">
        <v>46028</v>
      </c>
      <c r="C16" s="3" t="s">
        <v>134</v>
      </c>
      <c r="D16" s="3" t="s">
        <v>31</v>
      </c>
      <c r="E16" s="3" t="s">
        <v>32</v>
      </c>
      <c r="F16" s="3" t="s">
        <v>33</v>
      </c>
      <c r="G16" s="0" t="n">
        <v>101</v>
      </c>
      <c r="H16" s="0" t="n">
        <v>2640.76</v>
      </c>
      <c r="I16" s="0" t="n">
        <v>3961.38</v>
      </c>
      <c r="J16" s="2" t="n">
        <v>46026</v>
      </c>
      <c r="K16" s="3" t="s">
        <v>135</v>
      </c>
      <c r="L16" s="2" t="n">
        <v>46026</v>
      </c>
      <c r="M16" s="3" t="s">
        <v>136</v>
      </c>
      <c r="N16" s="2" t="n">
        <v>46027</v>
      </c>
      <c r="O16" s="3" t="s">
        <v>137</v>
      </c>
      <c r="P16" s="3" t="s">
        <v>138</v>
      </c>
      <c r="Q16" s="2" t="n">
        <v>46028</v>
      </c>
      <c r="R16" s="3" t="s">
        <v>139</v>
      </c>
      <c r="S16" s="3" t="s">
        <v>94</v>
      </c>
      <c r="T16" s="3" t="s">
        <v>95</v>
      </c>
      <c r="U16" s="3" t="s">
        <v>95</v>
      </c>
      <c r="V16" s="3" t="s">
        <v>95</v>
      </c>
      <c r="W16" s="0" t="n">
        <v>0.9461</v>
      </c>
      <c r="X16" s="0" t="n">
        <v>1.5</v>
      </c>
      <c r="Y16" s="0" t="n">
        <v>-0.5539</v>
      </c>
      <c r="Z16" s="0" t="n">
        <v>-1</v>
      </c>
      <c r="AA16" s="0" t="n">
        <v>3</v>
      </c>
      <c r="AB16" s="4" t="n">
        <f aca="false">I16*AA16*Z16</f>
        <v>-11884.14</v>
      </c>
      <c r="AC16" s="4" t="n">
        <f aca="false">AB16*1.18</f>
        <v>-14023.2852</v>
      </c>
    </row>
    <row r="17" customFormat="false" ht="15" hidden="false" customHeight="false" outlineLevel="0" collapsed="false">
      <c r="A17" s="0" t="s">
        <v>41</v>
      </c>
      <c r="B17" s="2" t="n">
        <v>46028</v>
      </c>
      <c r="C17" s="3" t="s">
        <v>140</v>
      </c>
      <c r="D17" s="3" t="s">
        <v>73</v>
      </c>
      <c r="E17" s="3" t="s">
        <v>32</v>
      </c>
      <c r="F17" s="3" t="s">
        <v>51</v>
      </c>
      <c r="G17" s="0" t="n">
        <v>111</v>
      </c>
      <c r="H17" s="0" t="n">
        <v>1320.67</v>
      </c>
      <c r="I17" s="0" t="n">
        <v>1320.97</v>
      </c>
      <c r="J17" s="2" t="n">
        <v>46026</v>
      </c>
      <c r="K17" s="3" t="s">
        <v>141</v>
      </c>
      <c r="L17" s="2" t="n">
        <v>46026</v>
      </c>
      <c r="M17" s="3" t="s">
        <v>142</v>
      </c>
      <c r="N17" s="2" t="n">
        <v>46026</v>
      </c>
      <c r="O17" s="3" t="s">
        <v>143</v>
      </c>
      <c r="P17" s="3" t="s">
        <v>144</v>
      </c>
      <c r="Q17" s="2" t="n">
        <v>46028</v>
      </c>
      <c r="R17" s="3" t="s">
        <v>145</v>
      </c>
      <c r="S17" s="3" t="s">
        <v>39</v>
      </c>
      <c r="T17" s="3" t="s">
        <v>40</v>
      </c>
      <c r="U17" s="3" t="s">
        <v>40</v>
      </c>
      <c r="V17" s="3" t="s">
        <v>40</v>
      </c>
      <c r="W17" s="0" t="n">
        <v>3.0212</v>
      </c>
      <c r="X17" s="0" t="n">
        <v>1.5</v>
      </c>
      <c r="Y17" s="0" t="n">
        <v>1.5212</v>
      </c>
      <c r="Z17" s="0" t="n">
        <v>2</v>
      </c>
      <c r="AA17" s="0" t="n">
        <v>3</v>
      </c>
      <c r="AB17" s="4" t="n">
        <f aca="false">I17*AA17*Z17</f>
        <v>7925.82</v>
      </c>
      <c r="AC17" s="4" t="n">
        <f aca="false">AB17*1.18</f>
        <v>9352.4676</v>
      </c>
    </row>
    <row r="18" customFormat="false" ht="15" hidden="false" customHeight="false" outlineLevel="0" collapsed="false">
      <c r="A18" s="0" t="s">
        <v>29</v>
      </c>
      <c r="B18" s="2" t="n">
        <v>46028</v>
      </c>
      <c r="C18" s="3" t="s">
        <v>146</v>
      </c>
      <c r="D18" s="3" t="s">
        <v>31</v>
      </c>
      <c r="E18" s="3" t="s">
        <v>32</v>
      </c>
      <c r="F18" s="3" t="s">
        <v>33</v>
      </c>
      <c r="G18" s="0" t="n">
        <v>98</v>
      </c>
      <c r="H18" s="0" t="n">
        <v>887.06</v>
      </c>
      <c r="I18" s="0" t="n">
        <v>887.53</v>
      </c>
      <c r="J18" s="2" t="n">
        <v>46025</v>
      </c>
      <c r="K18" s="3" t="s">
        <v>147</v>
      </c>
      <c r="L18" s="2" t="n">
        <v>46026</v>
      </c>
      <c r="M18" s="3" t="s">
        <v>148</v>
      </c>
      <c r="N18" s="2" t="n">
        <v>46026</v>
      </c>
      <c r="O18" s="3" t="s">
        <v>149</v>
      </c>
      <c r="P18" s="3" t="s">
        <v>150</v>
      </c>
      <c r="Q18" s="2" t="n">
        <v>46028</v>
      </c>
      <c r="R18" s="3" t="s">
        <v>151</v>
      </c>
      <c r="S18" s="3" t="s">
        <v>49</v>
      </c>
      <c r="T18" s="3" t="s">
        <v>40</v>
      </c>
      <c r="U18" s="3" t="s">
        <v>40</v>
      </c>
      <c r="V18" s="3" t="s">
        <v>40</v>
      </c>
      <c r="W18" s="0" t="n">
        <v>4.1936</v>
      </c>
      <c r="X18" s="0" t="n">
        <v>1.5</v>
      </c>
      <c r="Y18" s="0" t="n">
        <v>2.6936</v>
      </c>
      <c r="Z18" s="0" t="n">
        <v>3</v>
      </c>
      <c r="AA18" s="0" t="n">
        <v>3</v>
      </c>
      <c r="AB18" s="4" t="n">
        <f aca="false">I18*AA18*Z18</f>
        <v>7987.77</v>
      </c>
      <c r="AC18" s="4" t="n">
        <f aca="false">AB18*1.18</f>
        <v>9425.5686</v>
      </c>
    </row>
    <row r="19" customFormat="false" ht="15" hidden="false" customHeight="false" outlineLevel="0" collapsed="false">
      <c r="A19" s="0" t="s">
        <v>41</v>
      </c>
      <c r="B19" s="2" t="n">
        <v>46029</v>
      </c>
      <c r="C19" s="3" t="s">
        <v>152</v>
      </c>
      <c r="D19" s="3" t="s">
        <v>31</v>
      </c>
      <c r="E19" s="3" t="s">
        <v>32</v>
      </c>
      <c r="F19" s="3" t="s">
        <v>43</v>
      </c>
      <c r="G19" s="0" t="n">
        <v>195</v>
      </c>
      <c r="H19" s="0" t="n">
        <v>1362.9</v>
      </c>
      <c r="I19" s="0" t="n">
        <v>1772.17</v>
      </c>
      <c r="J19" s="2" t="n">
        <v>46027</v>
      </c>
      <c r="K19" s="3" t="s">
        <v>153</v>
      </c>
      <c r="L19" s="2" t="n">
        <v>46028</v>
      </c>
      <c r="M19" s="3" t="s">
        <v>135</v>
      </c>
      <c r="N19" s="2" t="n">
        <v>46027</v>
      </c>
      <c r="O19" s="3" t="s">
        <v>154</v>
      </c>
      <c r="P19" s="3" t="s">
        <v>155</v>
      </c>
      <c r="Q19" s="2" t="n">
        <v>46029</v>
      </c>
      <c r="R19" s="3" t="s">
        <v>156</v>
      </c>
      <c r="S19" s="3" t="s">
        <v>157</v>
      </c>
      <c r="T19" s="3" t="s">
        <v>40</v>
      </c>
      <c r="U19" s="3" t="s">
        <v>40</v>
      </c>
      <c r="V19" s="3" t="s">
        <v>40</v>
      </c>
      <c r="W19" s="0" t="n">
        <v>2.0058</v>
      </c>
      <c r="X19" s="0" t="n">
        <v>1.5</v>
      </c>
      <c r="Y19" s="0" t="n">
        <v>0.5058</v>
      </c>
      <c r="Z19" s="0" t="n">
        <v>1</v>
      </c>
      <c r="AA19" s="0" t="n">
        <v>3</v>
      </c>
      <c r="AB19" s="4" t="n">
        <f aca="false">I19*AA19*Z19</f>
        <v>5316.51</v>
      </c>
      <c r="AC19" s="4" t="n">
        <f aca="false">AB19*1.18</f>
        <v>6273.4818</v>
      </c>
    </row>
    <row r="20" customFormat="false" ht="15" hidden="false" customHeight="false" outlineLevel="0" collapsed="false">
      <c r="A20" s="0" t="s">
        <v>41</v>
      </c>
      <c r="B20" s="2" t="n">
        <v>46029</v>
      </c>
      <c r="C20" s="3" t="s">
        <v>158</v>
      </c>
      <c r="D20" s="3" t="s">
        <v>31</v>
      </c>
      <c r="E20" s="3" t="s">
        <v>32</v>
      </c>
      <c r="F20" s="3" t="s">
        <v>43</v>
      </c>
      <c r="G20" s="0" t="n">
        <v>26</v>
      </c>
      <c r="H20" s="0" t="n">
        <v>1096.7</v>
      </c>
      <c r="I20" s="0" t="n">
        <v>1096.97</v>
      </c>
      <c r="J20" s="2" t="n">
        <v>46028</v>
      </c>
      <c r="K20" s="3" t="s">
        <v>159</v>
      </c>
      <c r="L20" s="2" t="n">
        <v>46028</v>
      </c>
      <c r="M20" s="3" t="s">
        <v>160</v>
      </c>
      <c r="N20" s="2" t="n">
        <v>46028</v>
      </c>
      <c r="O20" s="3" t="s">
        <v>161</v>
      </c>
      <c r="P20" s="3" t="s">
        <v>162</v>
      </c>
      <c r="Q20" s="2" t="n">
        <v>46029</v>
      </c>
      <c r="R20" s="3" t="s">
        <v>163</v>
      </c>
      <c r="S20" s="3" t="s">
        <v>57</v>
      </c>
      <c r="T20" s="3" t="s">
        <v>40</v>
      </c>
      <c r="U20" s="3" t="s">
        <v>40</v>
      </c>
      <c r="V20" s="3" t="s">
        <v>40</v>
      </c>
      <c r="W20" s="0" t="n">
        <v>3.3418</v>
      </c>
      <c r="X20" s="0" t="n">
        <v>1.5</v>
      </c>
      <c r="Y20" s="0" t="n">
        <v>1.8418</v>
      </c>
      <c r="Z20" s="0" t="n">
        <v>2</v>
      </c>
      <c r="AA20" s="0" t="n">
        <v>3</v>
      </c>
      <c r="AB20" s="4" t="n">
        <f aca="false">I20*AA20*Z20</f>
        <v>6581.82</v>
      </c>
      <c r="AC20" s="4" t="n">
        <f aca="false">AB20*1.18</f>
        <v>7766.5476</v>
      </c>
    </row>
    <row r="21" customFormat="false" ht="15" hidden="false" customHeight="false" outlineLevel="0" collapsed="false">
      <c r="A21" s="0" t="s">
        <v>41</v>
      </c>
      <c r="B21" s="2" t="n">
        <v>46029</v>
      </c>
      <c r="C21" s="3" t="s">
        <v>164</v>
      </c>
      <c r="D21" s="3" t="s">
        <v>73</v>
      </c>
      <c r="E21" s="3" t="s">
        <v>32</v>
      </c>
      <c r="F21" s="3" t="s">
        <v>33</v>
      </c>
      <c r="G21" s="0" t="n">
        <v>127</v>
      </c>
      <c r="H21" s="0" t="n">
        <v>180.71</v>
      </c>
      <c r="I21" s="0" t="n">
        <v>181.14</v>
      </c>
      <c r="J21" s="2" t="n">
        <v>46027</v>
      </c>
      <c r="K21" s="3" t="s">
        <v>165</v>
      </c>
      <c r="L21" s="2" t="n">
        <v>46027</v>
      </c>
      <c r="M21" s="3" t="s">
        <v>166</v>
      </c>
      <c r="N21" s="2" t="n">
        <v>46027</v>
      </c>
      <c r="O21" s="3" t="s">
        <v>167</v>
      </c>
      <c r="P21" s="3" t="s">
        <v>168</v>
      </c>
      <c r="Q21" s="2" t="n">
        <v>46029</v>
      </c>
      <c r="R21" s="3" t="s">
        <v>169</v>
      </c>
      <c r="S21" s="3" t="s">
        <v>79</v>
      </c>
      <c r="T21" s="3" t="s">
        <v>40</v>
      </c>
      <c r="U21" s="3" t="s">
        <v>40</v>
      </c>
      <c r="V21" s="3" t="s">
        <v>40</v>
      </c>
      <c r="W21" s="0" t="n">
        <v>5.4551</v>
      </c>
      <c r="X21" s="0" t="n">
        <v>1.5</v>
      </c>
      <c r="Y21" s="0" t="n">
        <v>3.9551</v>
      </c>
      <c r="Z21" s="0" t="n">
        <v>4</v>
      </c>
      <c r="AA21" s="0" t="n">
        <v>3</v>
      </c>
      <c r="AB21" s="4" t="n">
        <f aca="false">I21*AA21*Z21</f>
        <v>2173.68</v>
      </c>
      <c r="AC21" s="4" t="n">
        <f aca="false">AB21*1.18</f>
        <v>2564.9424</v>
      </c>
    </row>
    <row r="22" customFormat="false" ht="15" hidden="false" customHeight="false" outlineLevel="0" collapsed="false">
      <c r="A22" s="0" t="s">
        <v>29</v>
      </c>
      <c r="B22" s="2" t="n">
        <v>46029</v>
      </c>
      <c r="C22" s="3" t="s">
        <v>170</v>
      </c>
      <c r="D22" s="3" t="s">
        <v>73</v>
      </c>
      <c r="E22" s="3" t="s">
        <v>32</v>
      </c>
      <c r="F22" s="3" t="s">
        <v>51</v>
      </c>
      <c r="G22" s="0" t="n">
        <v>191</v>
      </c>
      <c r="H22" s="0" t="n">
        <v>2734.59</v>
      </c>
      <c r="I22" s="0" t="n">
        <v>2734.87</v>
      </c>
      <c r="J22" s="2" t="n">
        <v>46026</v>
      </c>
      <c r="K22" s="3" t="s">
        <v>171</v>
      </c>
      <c r="L22" s="2" t="n">
        <v>46026</v>
      </c>
      <c r="M22" s="3" t="s">
        <v>172</v>
      </c>
      <c r="N22" s="2" t="n">
        <v>46027</v>
      </c>
      <c r="O22" s="3" t="s">
        <v>173</v>
      </c>
      <c r="P22" s="3" t="s">
        <v>174</v>
      </c>
      <c r="Q22" s="2" t="n">
        <v>46029</v>
      </c>
      <c r="R22" s="3" t="s">
        <v>175</v>
      </c>
      <c r="S22" s="3" t="s">
        <v>57</v>
      </c>
      <c r="T22" s="3" t="s">
        <v>40</v>
      </c>
      <c r="U22" s="3" t="s">
        <v>40</v>
      </c>
      <c r="V22" s="3" t="s">
        <v>40</v>
      </c>
      <c r="W22" s="0" t="n">
        <v>1.0517</v>
      </c>
      <c r="X22" s="0" t="n">
        <v>1.5</v>
      </c>
      <c r="Y22" s="0" t="n">
        <v>-0.4483</v>
      </c>
      <c r="Z22" s="0" t="n">
        <v>-1</v>
      </c>
      <c r="AA22" s="0" t="n">
        <v>3</v>
      </c>
      <c r="AB22" s="4" t="n">
        <f aca="false">I22*AA22*Z22</f>
        <v>-8204.61</v>
      </c>
      <c r="AC22" s="4" t="n">
        <f aca="false">AB22*1.18</f>
        <v>-9681.4398</v>
      </c>
    </row>
    <row r="23" customFormat="false" ht="15" hidden="false" customHeight="false" outlineLevel="0" collapsed="false">
      <c r="A23" s="0" t="s">
        <v>41</v>
      </c>
      <c r="B23" s="2" t="n">
        <v>46030</v>
      </c>
      <c r="C23" s="3" t="s">
        <v>176</v>
      </c>
      <c r="D23" s="3" t="s">
        <v>31</v>
      </c>
      <c r="E23" s="3" t="s">
        <v>32</v>
      </c>
      <c r="F23" s="3" t="s">
        <v>43</v>
      </c>
      <c r="G23" s="0" t="n">
        <v>77</v>
      </c>
      <c r="H23" s="0" t="n">
        <v>633.05</v>
      </c>
      <c r="I23" s="0" t="n">
        <v>633.14</v>
      </c>
      <c r="J23" s="2" t="n">
        <v>46028</v>
      </c>
      <c r="K23" s="3" t="s">
        <v>177</v>
      </c>
      <c r="L23" s="2" t="n">
        <v>46029</v>
      </c>
      <c r="M23" s="3" t="s">
        <v>178</v>
      </c>
      <c r="N23" s="2" t="n">
        <v>46028</v>
      </c>
      <c r="O23" s="3" t="s">
        <v>179</v>
      </c>
      <c r="P23" s="3" t="s">
        <v>180</v>
      </c>
      <c r="Q23" s="2" t="n">
        <v>46030</v>
      </c>
      <c r="R23" s="3" t="s">
        <v>181</v>
      </c>
      <c r="S23" s="3" t="s">
        <v>182</v>
      </c>
      <c r="T23" s="3" t="s">
        <v>40</v>
      </c>
      <c r="U23" s="3" t="s">
        <v>40</v>
      </c>
      <c r="V23" s="3" t="s">
        <v>40</v>
      </c>
      <c r="W23" s="0" t="n">
        <v>4.7558</v>
      </c>
      <c r="X23" s="0" t="n">
        <v>1.5</v>
      </c>
      <c r="Y23" s="0" t="n">
        <v>3.2558</v>
      </c>
      <c r="Z23" s="0" t="n">
        <v>3</v>
      </c>
      <c r="AA23" s="0" t="n">
        <v>3</v>
      </c>
      <c r="AB23" s="4" t="n">
        <f aca="false">I23*AA23*Z23</f>
        <v>5698.26</v>
      </c>
      <c r="AC23" s="4" t="n">
        <f aca="false">AB23*1.18</f>
        <v>6723.9468</v>
      </c>
    </row>
    <row r="24" customFormat="false" ht="15" hidden="false" customHeight="false" outlineLevel="0" collapsed="false">
      <c r="A24" s="0" t="s">
        <v>41</v>
      </c>
      <c r="B24" s="2" t="n">
        <v>46030</v>
      </c>
      <c r="C24" s="3" t="s">
        <v>183</v>
      </c>
      <c r="D24" s="3" t="s">
        <v>31</v>
      </c>
      <c r="E24" s="3" t="s">
        <v>32</v>
      </c>
      <c r="F24" s="3" t="s">
        <v>51</v>
      </c>
      <c r="G24" s="0" t="n">
        <v>107</v>
      </c>
      <c r="H24" s="0" t="n">
        <v>2348.58</v>
      </c>
      <c r="I24" s="0" t="n">
        <v>2348.66</v>
      </c>
      <c r="J24" s="2" t="n">
        <v>46028</v>
      </c>
      <c r="K24" s="3" t="s">
        <v>184</v>
      </c>
      <c r="L24" s="2" t="n">
        <v>46028</v>
      </c>
      <c r="M24" s="3" t="s">
        <v>185</v>
      </c>
      <c r="N24" s="2" t="n">
        <v>46028</v>
      </c>
      <c r="O24" s="3" t="s">
        <v>186</v>
      </c>
      <c r="P24" s="3" t="s">
        <v>187</v>
      </c>
      <c r="Q24" s="2" t="n">
        <v>46030</v>
      </c>
      <c r="R24" s="3" t="s">
        <v>188</v>
      </c>
      <c r="S24" s="3" t="s">
        <v>189</v>
      </c>
      <c r="T24" s="3" t="s">
        <v>80</v>
      </c>
      <c r="U24" s="3" t="s">
        <v>80</v>
      </c>
      <c r="V24" s="3" t="s">
        <v>80</v>
      </c>
      <c r="W24" s="0" t="n">
        <v>3.3703</v>
      </c>
      <c r="X24" s="0" t="n">
        <v>1.5</v>
      </c>
      <c r="Y24" s="0" t="n">
        <v>1.8703</v>
      </c>
      <c r="Z24" s="0" t="n">
        <v>2</v>
      </c>
      <c r="AA24" s="0" t="n">
        <v>3</v>
      </c>
      <c r="AB24" s="4" t="n">
        <f aca="false">I24*AA24*Z24</f>
        <v>14091.96</v>
      </c>
      <c r="AC24" s="4" t="n">
        <f aca="false">AB24*1.18</f>
        <v>16628.5128</v>
      </c>
    </row>
    <row r="25" customFormat="false" ht="15" hidden="false" customHeight="false" outlineLevel="0" collapsed="false">
      <c r="A25" s="0" t="s">
        <v>41</v>
      </c>
      <c r="B25" s="2" t="n">
        <v>46030</v>
      </c>
      <c r="C25" s="3" t="s">
        <v>190</v>
      </c>
      <c r="D25" s="3" t="s">
        <v>31</v>
      </c>
      <c r="E25" s="3" t="s">
        <v>32</v>
      </c>
      <c r="F25" s="3" t="s">
        <v>51</v>
      </c>
      <c r="G25" s="0" t="n">
        <v>99</v>
      </c>
      <c r="H25" s="0" t="n">
        <v>844.93</v>
      </c>
      <c r="I25" s="0" t="n">
        <v>1098.45</v>
      </c>
      <c r="J25" s="2" t="n">
        <v>46029</v>
      </c>
      <c r="K25" s="3" t="s">
        <v>191</v>
      </c>
      <c r="L25" s="2" t="n">
        <v>46030</v>
      </c>
      <c r="M25" s="3" t="s">
        <v>192</v>
      </c>
      <c r="N25" s="2" t="n">
        <v>46030</v>
      </c>
      <c r="O25" s="3" t="s">
        <v>193</v>
      </c>
      <c r="P25" s="3" t="s">
        <v>194</v>
      </c>
      <c r="Q25" s="2" t="n">
        <v>46030</v>
      </c>
      <c r="R25" s="3" t="s">
        <v>145</v>
      </c>
      <c r="S25" s="3" t="s">
        <v>195</v>
      </c>
      <c r="T25" s="3" t="s">
        <v>40</v>
      </c>
      <c r="U25" s="3" t="s">
        <v>40</v>
      </c>
      <c r="V25" s="3" t="s">
        <v>40</v>
      </c>
      <c r="W25" s="0" t="n">
        <v>5.3748</v>
      </c>
      <c r="X25" s="0" t="n">
        <v>1.5</v>
      </c>
      <c r="Y25" s="0" t="n">
        <v>3.8748</v>
      </c>
      <c r="Z25" s="0" t="n">
        <v>4</v>
      </c>
      <c r="AA25" s="0" t="n">
        <v>3</v>
      </c>
      <c r="AB25" s="4" t="n">
        <f aca="false">I25*AA25*Z25</f>
        <v>13181.4</v>
      </c>
      <c r="AC25" s="4" t="n">
        <f aca="false">AB25*1.18</f>
        <v>15554.052</v>
      </c>
    </row>
    <row r="26" customFormat="false" ht="15" hidden="false" customHeight="false" outlineLevel="0" collapsed="false">
      <c r="A26" s="0" t="s">
        <v>41</v>
      </c>
      <c r="B26" s="2" t="n">
        <v>46030</v>
      </c>
      <c r="C26" s="3" t="s">
        <v>196</v>
      </c>
      <c r="D26" s="3" t="s">
        <v>31</v>
      </c>
      <c r="E26" s="3" t="s">
        <v>32</v>
      </c>
      <c r="F26" s="3" t="s">
        <v>43</v>
      </c>
      <c r="G26" s="0" t="n">
        <v>74</v>
      </c>
      <c r="H26" s="0" t="n">
        <v>2671.74</v>
      </c>
      <c r="I26" s="0" t="n">
        <v>2671.85</v>
      </c>
      <c r="J26" s="2" t="n">
        <v>46029</v>
      </c>
      <c r="K26" s="3" t="s">
        <v>197</v>
      </c>
      <c r="L26" s="2" t="n">
        <v>46029</v>
      </c>
      <c r="M26" s="3" t="s">
        <v>198</v>
      </c>
      <c r="N26" s="2" t="n">
        <v>46029</v>
      </c>
      <c r="O26" s="3" t="s">
        <v>199</v>
      </c>
      <c r="P26" s="3" t="s">
        <v>200</v>
      </c>
      <c r="Q26" s="2" t="n">
        <v>46030</v>
      </c>
      <c r="R26" s="3" t="s">
        <v>186</v>
      </c>
      <c r="S26" s="3" t="s">
        <v>189</v>
      </c>
      <c r="T26" s="3" t="s">
        <v>80</v>
      </c>
      <c r="U26" s="3" t="s">
        <v>80</v>
      </c>
      <c r="V26" s="3" t="s">
        <v>80</v>
      </c>
      <c r="W26" s="0" t="n">
        <v>2.7723</v>
      </c>
      <c r="X26" s="0" t="n">
        <v>1.5</v>
      </c>
      <c r="Y26" s="0" t="n">
        <v>1.2723</v>
      </c>
      <c r="Z26" s="0" t="n">
        <v>1</v>
      </c>
      <c r="AA26" s="0" t="n">
        <v>3</v>
      </c>
      <c r="AB26" s="4" t="n">
        <f aca="false">I26*AA26*Z26</f>
        <v>8015.55</v>
      </c>
      <c r="AC26" s="4" t="n">
        <f aca="false">AB26*1.18</f>
        <v>9458.349</v>
      </c>
    </row>
    <row r="27" customFormat="false" ht="15" hidden="false" customHeight="false" outlineLevel="0" collapsed="false">
      <c r="A27" s="0" t="s">
        <v>29</v>
      </c>
      <c r="B27" s="2" t="n">
        <v>46030</v>
      </c>
      <c r="C27" s="3" t="s">
        <v>201</v>
      </c>
      <c r="D27" s="3" t="s">
        <v>73</v>
      </c>
      <c r="E27" s="3" t="s">
        <v>32</v>
      </c>
      <c r="F27" s="3" t="s">
        <v>43</v>
      </c>
      <c r="G27" s="0" t="n">
        <v>32</v>
      </c>
      <c r="H27" s="0" t="n">
        <v>1859.16</v>
      </c>
      <c r="I27" s="0" t="n">
        <v>2045.11</v>
      </c>
      <c r="J27" s="2" t="n">
        <v>46027</v>
      </c>
      <c r="K27" s="3" t="s">
        <v>202</v>
      </c>
      <c r="L27" s="2" t="n">
        <v>46027</v>
      </c>
      <c r="M27" s="3" t="s">
        <v>203</v>
      </c>
      <c r="N27" s="2" t="n">
        <v>46027</v>
      </c>
      <c r="O27" s="3" t="s">
        <v>204</v>
      </c>
      <c r="P27" s="3" t="s">
        <v>205</v>
      </c>
      <c r="Q27" s="2" t="n">
        <v>46030</v>
      </c>
      <c r="R27" s="3" t="s">
        <v>206</v>
      </c>
      <c r="S27" s="3" t="s">
        <v>79</v>
      </c>
      <c r="T27" s="3" t="s">
        <v>40</v>
      </c>
      <c r="U27" s="3" t="s">
        <v>40</v>
      </c>
      <c r="V27" s="3" t="s">
        <v>40</v>
      </c>
      <c r="W27" s="0" t="n">
        <v>2.3442</v>
      </c>
      <c r="X27" s="0" t="n">
        <v>1.5</v>
      </c>
      <c r="Y27" s="0" t="n">
        <v>0.8442</v>
      </c>
      <c r="Z27" s="0" t="n">
        <v>1</v>
      </c>
      <c r="AA27" s="0" t="n">
        <v>3</v>
      </c>
      <c r="AB27" s="4" t="n">
        <f aca="false">I27*AA27*Z27</f>
        <v>6135.33</v>
      </c>
      <c r="AC27" s="4" t="n">
        <f aca="false">AB27*1.18</f>
        <v>7239.6894</v>
      </c>
    </row>
    <row r="28" customFormat="false" ht="15" hidden="false" customHeight="false" outlineLevel="0" collapsed="false">
      <c r="A28" s="0" t="s">
        <v>29</v>
      </c>
      <c r="B28" s="2" t="n">
        <v>46030</v>
      </c>
      <c r="C28" s="3" t="s">
        <v>207</v>
      </c>
      <c r="D28" s="3" t="s">
        <v>31</v>
      </c>
      <c r="E28" s="3" t="s">
        <v>32</v>
      </c>
      <c r="F28" s="3" t="s">
        <v>43</v>
      </c>
      <c r="G28" s="0" t="n">
        <v>147</v>
      </c>
      <c r="H28" s="0" t="n">
        <v>1667.91</v>
      </c>
      <c r="I28" s="0" t="n">
        <v>2168.32</v>
      </c>
      <c r="J28" s="2" t="n">
        <v>46028</v>
      </c>
      <c r="K28" s="3" t="s">
        <v>208</v>
      </c>
      <c r="L28" s="2" t="n">
        <v>46028</v>
      </c>
      <c r="M28" s="3" t="s">
        <v>209</v>
      </c>
      <c r="N28" s="2" t="n">
        <v>46029</v>
      </c>
      <c r="O28" s="3" t="s">
        <v>210</v>
      </c>
      <c r="P28" s="3" t="s">
        <v>211</v>
      </c>
      <c r="Q28" s="2" t="n">
        <v>46030</v>
      </c>
      <c r="R28" s="3" t="s">
        <v>212</v>
      </c>
      <c r="S28" s="3" t="s">
        <v>49</v>
      </c>
      <c r="T28" s="3" t="s">
        <v>40</v>
      </c>
      <c r="U28" s="3" t="s">
        <v>40</v>
      </c>
      <c r="V28" s="3" t="s">
        <v>40</v>
      </c>
      <c r="W28" s="0" t="n">
        <v>3.9622</v>
      </c>
      <c r="X28" s="0" t="n">
        <v>1.5</v>
      </c>
      <c r="Y28" s="0" t="n">
        <v>2.4622</v>
      </c>
      <c r="Z28" s="0" t="n">
        <v>2</v>
      </c>
      <c r="AA28" s="0" t="n">
        <v>3</v>
      </c>
      <c r="AB28" s="4" t="n">
        <f aca="false">I28*AA28*Z28</f>
        <v>13009.92</v>
      </c>
      <c r="AC28" s="4" t="n">
        <f aca="false">AB28*1.18</f>
        <v>15351.7056</v>
      </c>
    </row>
    <row r="29" customFormat="false" ht="15" hidden="false" customHeight="false" outlineLevel="0" collapsed="false">
      <c r="A29" s="0" t="s">
        <v>41</v>
      </c>
      <c r="B29" s="2" t="n">
        <v>46032</v>
      </c>
      <c r="C29" s="3" t="s">
        <v>213</v>
      </c>
      <c r="D29" s="3" t="s">
        <v>31</v>
      </c>
      <c r="E29" s="3" t="s">
        <v>32</v>
      </c>
      <c r="F29" s="3" t="s">
        <v>43</v>
      </c>
      <c r="G29" s="0" t="n">
        <v>136</v>
      </c>
      <c r="H29" s="0" t="n">
        <v>2374.74</v>
      </c>
      <c r="I29" s="0" t="n">
        <v>3562.46</v>
      </c>
      <c r="J29" s="2" t="n">
        <v>46030</v>
      </c>
      <c r="K29" s="3" t="s">
        <v>214</v>
      </c>
      <c r="L29" s="2" t="n">
        <v>46031</v>
      </c>
      <c r="M29" s="3" t="s">
        <v>215</v>
      </c>
      <c r="N29" s="2" t="n">
        <v>46031</v>
      </c>
      <c r="O29" s="3" t="s">
        <v>216</v>
      </c>
      <c r="P29" s="3" t="s">
        <v>217</v>
      </c>
      <c r="Q29" s="2" t="n">
        <v>46032</v>
      </c>
      <c r="R29" s="3" t="s">
        <v>218</v>
      </c>
      <c r="S29" s="3" t="s">
        <v>79</v>
      </c>
      <c r="T29" s="3" t="s">
        <v>40</v>
      </c>
      <c r="U29" s="3" t="s">
        <v>40</v>
      </c>
      <c r="V29" s="3" t="s">
        <v>40</v>
      </c>
      <c r="W29" s="0" t="n">
        <v>3.2153</v>
      </c>
      <c r="X29" s="0" t="n">
        <v>1.5</v>
      </c>
      <c r="Y29" s="0" t="n">
        <v>1.7153</v>
      </c>
      <c r="Z29" s="0" t="n">
        <v>2</v>
      </c>
      <c r="AA29" s="0" t="n">
        <v>3</v>
      </c>
      <c r="AB29" s="4" t="n">
        <f aca="false">I29*AA29*Z29</f>
        <v>21374.76</v>
      </c>
      <c r="AC29" s="4" t="n">
        <f aca="false">AB29*1.18</f>
        <v>25222.2168</v>
      </c>
    </row>
    <row r="30" customFormat="false" ht="15" hidden="false" customHeight="false" outlineLevel="0" collapsed="false">
      <c r="A30" s="0" t="s">
        <v>41</v>
      </c>
      <c r="B30" s="2" t="n">
        <v>46032</v>
      </c>
      <c r="C30" s="3" t="s">
        <v>219</v>
      </c>
      <c r="D30" s="3" t="s">
        <v>73</v>
      </c>
      <c r="E30" s="3" t="s">
        <v>32</v>
      </c>
      <c r="F30" s="3" t="s">
        <v>43</v>
      </c>
      <c r="G30" s="0" t="n">
        <v>112</v>
      </c>
      <c r="H30" s="0" t="n">
        <v>727.09</v>
      </c>
      <c r="I30" s="0" t="n">
        <v>945.27</v>
      </c>
      <c r="J30" s="2" t="n">
        <v>46031</v>
      </c>
      <c r="K30" s="3" t="s">
        <v>220</v>
      </c>
      <c r="L30" s="2" t="n">
        <v>46031</v>
      </c>
      <c r="M30" s="3" t="s">
        <v>221</v>
      </c>
      <c r="N30" s="2" t="n">
        <v>46032</v>
      </c>
      <c r="O30" s="3" t="s">
        <v>222</v>
      </c>
      <c r="P30" s="3" t="s">
        <v>223</v>
      </c>
      <c r="Q30" s="2" t="n">
        <v>46032</v>
      </c>
      <c r="R30" s="3" t="s">
        <v>224</v>
      </c>
      <c r="S30" s="3" t="s">
        <v>225</v>
      </c>
      <c r="T30" s="3" t="s">
        <v>95</v>
      </c>
      <c r="U30" s="3" t="s">
        <v>95</v>
      </c>
      <c r="V30" s="3" t="s">
        <v>95</v>
      </c>
      <c r="W30" s="0" t="n">
        <v>3.1869</v>
      </c>
      <c r="X30" s="0" t="n">
        <v>1.5</v>
      </c>
      <c r="Y30" s="0" t="n">
        <v>1.6869</v>
      </c>
      <c r="Z30" s="0" t="n">
        <v>2</v>
      </c>
      <c r="AA30" s="0" t="n">
        <v>3</v>
      </c>
      <c r="AB30" s="4" t="n">
        <f aca="false">I30*AA30*Z30</f>
        <v>5671.62</v>
      </c>
      <c r="AC30" s="4" t="n">
        <f aca="false">AB30*1.18</f>
        <v>6692.5116</v>
      </c>
    </row>
    <row r="31" customFormat="false" ht="15" hidden="false" customHeight="false" outlineLevel="0" collapsed="false">
      <c r="A31" s="0" t="s">
        <v>41</v>
      </c>
      <c r="B31" s="2" t="n">
        <v>46032</v>
      </c>
      <c r="C31" s="3" t="s">
        <v>226</v>
      </c>
      <c r="D31" s="3" t="s">
        <v>73</v>
      </c>
      <c r="E31" s="3" t="s">
        <v>32</v>
      </c>
      <c r="F31" s="3" t="s">
        <v>33</v>
      </c>
      <c r="G31" s="0" t="n">
        <v>149</v>
      </c>
      <c r="H31" s="0" t="n">
        <v>3009.09</v>
      </c>
      <c r="I31" s="0" t="n">
        <v>3310.42</v>
      </c>
      <c r="J31" s="2" t="n">
        <v>46031</v>
      </c>
      <c r="K31" s="3" t="s">
        <v>227</v>
      </c>
      <c r="L31" s="2" t="n">
        <v>46031</v>
      </c>
      <c r="M31" s="3" t="s">
        <v>228</v>
      </c>
      <c r="N31" s="2" t="n">
        <v>46032</v>
      </c>
      <c r="O31" s="3" t="s">
        <v>229</v>
      </c>
      <c r="P31" s="3" t="s">
        <v>230</v>
      </c>
      <c r="Q31" s="2" t="n">
        <v>46032</v>
      </c>
      <c r="R31" s="3" t="s">
        <v>231</v>
      </c>
      <c r="S31" s="3" t="s">
        <v>232</v>
      </c>
      <c r="T31" s="3" t="s">
        <v>40</v>
      </c>
      <c r="U31" s="3" t="s">
        <v>40</v>
      </c>
      <c r="V31" s="3" t="s">
        <v>40</v>
      </c>
      <c r="W31" s="0" t="n">
        <v>2.7763</v>
      </c>
      <c r="X31" s="0" t="n">
        <v>1.5</v>
      </c>
      <c r="Y31" s="0" t="n">
        <v>1.2763</v>
      </c>
      <c r="Z31" s="0" t="n">
        <v>1</v>
      </c>
      <c r="AA31" s="0" t="n">
        <v>3</v>
      </c>
      <c r="AB31" s="4" t="n">
        <f aca="false">I31*AA31*Z31</f>
        <v>9931.26</v>
      </c>
      <c r="AC31" s="4" t="n">
        <f aca="false">AB31*1.18</f>
        <v>11718.8868</v>
      </c>
    </row>
    <row r="32" customFormat="false" ht="15" hidden="false" customHeight="false" outlineLevel="0" collapsed="false">
      <c r="A32" s="0" t="s">
        <v>29</v>
      </c>
      <c r="B32" s="2" t="n">
        <v>46032</v>
      </c>
      <c r="C32" s="3" t="s">
        <v>233</v>
      </c>
      <c r="D32" s="3" t="s">
        <v>31</v>
      </c>
      <c r="E32" s="3" t="s">
        <v>32</v>
      </c>
      <c r="F32" s="3" t="s">
        <v>33</v>
      </c>
      <c r="G32" s="0" t="n">
        <v>141</v>
      </c>
      <c r="H32" s="0" t="n">
        <v>1507.69</v>
      </c>
      <c r="I32" s="0" t="n">
        <v>1658.9</v>
      </c>
      <c r="J32" s="2" t="n">
        <v>46029</v>
      </c>
      <c r="K32" s="3" t="s">
        <v>234</v>
      </c>
      <c r="L32" s="2" t="n">
        <v>46030</v>
      </c>
      <c r="M32" s="3" t="s">
        <v>235</v>
      </c>
      <c r="N32" s="2" t="n">
        <v>46029</v>
      </c>
      <c r="O32" s="3" t="s">
        <v>236</v>
      </c>
      <c r="P32" s="3" t="s">
        <v>237</v>
      </c>
      <c r="Q32" s="2" t="n">
        <v>46032</v>
      </c>
      <c r="R32" s="3" t="s">
        <v>238</v>
      </c>
      <c r="S32" s="3" t="s">
        <v>189</v>
      </c>
      <c r="T32" s="3" t="s">
        <v>40</v>
      </c>
      <c r="U32" s="3" t="s">
        <v>40</v>
      </c>
      <c r="V32" s="3" t="s">
        <v>40</v>
      </c>
      <c r="W32" s="0" t="n">
        <v>0.5579</v>
      </c>
      <c r="X32" s="0" t="n">
        <v>1.5</v>
      </c>
      <c r="Y32" s="0" t="n">
        <v>-0.9421</v>
      </c>
      <c r="Z32" s="0" t="n">
        <v>-1</v>
      </c>
      <c r="AA32" s="0" t="n">
        <v>3</v>
      </c>
      <c r="AB32" s="4" t="n">
        <f aca="false">I32*AA32*Z32</f>
        <v>-4976.7</v>
      </c>
      <c r="AC32" s="4" t="n">
        <f aca="false">AB32*1.18</f>
        <v>-5872.506</v>
      </c>
    </row>
    <row r="33" customFormat="false" ht="15" hidden="false" customHeight="false" outlineLevel="0" collapsed="false">
      <c r="A33" s="0" t="s">
        <v>41</v>
      </c>
      <c r="B33" s="2" t="n">
        <v>46033</v>
      </c>
      <c r="C33" s="3" t="s">
        <v>239</v>
      </c>
      <c r="D33" s="3" t="s">
        <v>73</v>
      </c>
      <c r="E33" s="3" t="s">
        <v>32</v>
      </c>
      <c r="F33" s="3" t="s">
        <v>51</v>
      </c>
      <c r="G33" s="0" t="n">
        <v>21</v>
      </c>
      <c r="H33" s="0" t="n">
        <v>795.34</v>
      </c>
      <c r="I33" s="0" t="n">
        <v>875.16</v>
      </c>
      <c r="J33" s="2" t="n">
        <v>46030</v>
      </c>
      <c r="K33" s="3" t="s">
        <v>240</v>
      </c>
      <c r="L33" s="2" t="n">
        <v>46031</v>
      </c>
      <c r="M33" s="3" t="s">
        <v>234</v>
      </c>
      <c r="N33" s="2" t="n">
        <v>46031</v>
      </c>
      <c r="O33" s="3" t="s">
        <v>241</v>
      </c>
      <c r="P33" s="3" t="s">
        <v>242</v>
      </c>
      <c r="Q33" s="2" t="n">
        <v>46033</v>
      </c>
      <c r="R33" s="3" t="s">
        <v>243</v>
      </c>
      <c r="S33" s="3" t="s">
        <v>195</v>
      </c>
      <c r="T33" s="3" t="s">
        <v>40</v>
      </c>
      <c r="U33" s="3" t="s">
        <v>40</v>
      </c>
      <c r="V33" s="3" t="s">
        <v>40</v>
      </c>
      <c r="W33" s="0" t="n">
        <v>4.0988</v>
      </c>
      <c r="X33" s="0" t="n">
        <v>1.5</v>
      </c>
      <c r="Y33" s="0" t="n">
        <v>2.5988</v>
      </c>
      <c r="Z33" s="0" t="n">
        <v>3</v>
      </c>
      <c r="AA33" s="0" t="n">
        <v>3</v>
      </c>
      <c r="AB33" s="4" t="n">
        <f aca="false">I33*AA33*Z33</f>
        <v>7876.44</v>
      </c>
      <c r="AC33" s="4" t="n">
        <f aca="false">AB33*1.18</f>
        <v>9294.1992</v>
      </c>
    </row>
    <row r="34" customFormat="false" ht="15" hidden="false" customHeight="false" outlineLevel="0" collapsed="false">
      <c r="A34" s="0" t="s">
        <v>41</v>
      </c>
      <c r="B34" s="2" t="n">
        <v>46033</v>
      </c>
      <c r="C34" s="3" t="s">
        <v>244</v>
      </c>
      <c r="D34" s="3" t="s">
        <v>73</v>
      </c>
      <c r="E34" s="3" t="s">
        <v>32</v>
      </c>
      <c r="F34" s="3" t="s">
        <v>43</v>
      </c>
      <c r="G34" s="0" t="n">
        <v>214</v>
      </c>
      <c r="H34" s="0" t="n">
        <v>2635.9</v>
      </c>
      <c r="I34" s="0" t="n">
        <v>2636.24</v>
      </c>
      <c r="J34" s="2" t="n">
        <v>46032</v>
      </c>
      <c r="K34" s="3" t="s">
        <v>245</v>
      </c>
      <c r="L34" s="2" t="n">
        <v>46032</v>
      </c>
      <c r="M34" s="3" t="s">
        <v>246</v>
      </c>
      <c r="N34" s="2" t="n">
        <v>46033</v>
      </c>
      <c r="O34" s="3" t="s">
        <v>247</v>
      </c>
      <c r="P34" s="3" t="s">
        <v>248</v>
      </c>
      <c r="Q34" s="2" t="n">
        <v>46033</v>
      </c>
      <c r="R34" s="3" t="s">
        <v>216</v>
      </c>
      <c r="S34" s="3" t="s">
        <v>157</v>
      </c>
      <c r="T34" s="3" t="s">
        <v>40</v>
      </c>
      <c r="U34" s="3" t="s">
        <v>40</v>
      </c>
      <c r="V34" s="3" t="s">
        <v>40</v>
      </c>
      <c r="W34" s="0" t="n">
        <v>2.8776</v>
      </c>
      <c r="X34" s="0" t="n">
        <v>1.5</v>
      </c>
      <c r="Y34" s="0" t="n">
        <v>1.3776</v>
      </c>
      <c r="Z34" s="0" t="n">
        <v>1</v>
      </c>
      <c r="AA34" s="0" t="n">
        <v>3</v>
      </c>
      <c r="AB34" s="4" t="n">
        <f aca="false">I34*AA34*Z34</f>
        <v>7908.72</v>
      </c>
      <c r="AC34" s="4" t="n">
        <f aca="false">AB34*1.18</f>
        <v>9332.2896</v>
      </c>
    </row>
    <row r="35" customFormat="false" ht="15" hidden="false" customHeight="false" outlineLevel="0" collapsed="false">
      <c r="A35" s="0" t="s">
        <v>29</v>
      </c>
      <c r="B35" s="2" t="n">
        <v>46033</v>
      </c>
      <c r="C35" s="3" t="s">
        <v>249</v>
      </c>
      <c r="D35" s="3" t="s">
        <v>31</v>
      </c>
      <c r="E35" s="3" t="s">
        <v>32</v>
      </c>
      <c r="F35" s="3" t="s">
        <v>33</v>
      </c>
      <c r="G35" s="0" t="n">
        <v>1</v>
      </c>
      <c r="H35" s="0" t="n">
        <v>2014.22</v>
      </c>
      <c r="I35" s="0" t="n">
        <v>2014.27</v>
      </c>
      <c r="J35" s="2" t="n">
        <v>46030</v>
      </c>
      <c r="K35" s="3" t="s">
        <v>250</v>
      </c>
      <c r="L35" s="2" t="n">
        <v>46030</v>
      </c>
      <c r="M35" s="3" t="s">
        <v>251</v>
      </c>
      <c r="N35" s="2" t="n">
        <v>46030</v>
      </c>
      <c r="O35" s="3" t="s">
        <v>252</v>
      </c>
      <c r="P35" s="3" t="s">
        <v>253</v>
      </c>
      <c r="Q35" s="2" t="n">
        <v>46033</v>
      </c>
      <c r="R35" s="3" t="s">
        <v>254</v>
      </c>
      <c r="S35" s="3" t="s">
        <v>255</v>
      </c>
      <c r="T35" s="3" t="s">
        <v>40</v>
      </c>
      <c r="U35" s="3" t="s">
        <v>40</v>
      </c>
      <c r="V35" s="3" t="s">
        <v>40</v>
      </c>
      <c r="W35" s="0" t="n">
        <v>5.4118</v>
      </c>
      <c r="X35" s="0" t="n">
        <v>1.5</v>
      </c>
      <c r="Y35" s="0" t="n">
        <v>3.9118</v>
      </c>
      <c r="Z35" s="0" t="n">
        <v>4</v>
      </c>
      <c r="AA35" s="0" t="n">
        <v>3</v>
      </c>
      <c r="AB35" s="4" t="n">
        <f aca="false">I35*AA35*Z35</f>
        <v>24171.24</v>
      </c>
      <c r="AC35" s="4" t="n">
        <f aca="false">AB35*1.18</f>
        <v>28522.0632</v>
      </c>
    </row>
    <row r="36" customFormat="false" ht="15" hidden="false" customHeight="false" outlineLevel="0" collapsed="false">
      <c r="A36" s="0" t="s">
        <v>29</v>
      </c>
      <c r="B36" s="2" t="n">
        <v>46034</v>
      </c>
      <c r="C36" s="3" t="s">
        <v>256</v>
      </c>
      <c r="D36" s="3" t="s">
        <v>73</v>
      </c>
      <c r="E36" s="3" t="s">
        <v>32</v>
      </c>
      <c r="F36" s="3" t="s">
        <v>51</v>
      </c>
      <c r="G36" s="0" t="n">
        <v>30</v>
      </c>
      <c r="H36" s="0" t="n">
        <v>3001.27</v>
      </c>
      <c r="I36" s="0" t="n">
        <v>4502.1</v>
      </c>
      <c r="J36" s="2" t="n">
        <v>46033</v>
      </c>
      <c r="K36" s="3" t="s">
        <v>257</v>
      </c>
      <c r="L36" s="2" t="n">
        <v>46034</v>
      </c>
      <c r="M36" s="3" t="s">
        <v>258</v>
      </c>
      <c r="N36" s="2" t="n">
        <v>46034</v>
      </c>
      <c r="O36" s="3" t="s">
        <v>259</v>
      </c>
      <c r="P36" s="3" t="s">
        <v>260</v>
      </c>
      <c r="Q36" s="2" t="n">
        <v>46034</v>
      </c>
      <c r="R36" s="3" t="s">
        <v>261</v>
      </c>
      <c r="S36" s="3" t="s">
        <v>94</v>
      </c>
      <c r="T36" s="3" t="s">
        <v>40</v>
      </c>
      <c r="U36" s="3" t="s">
        <v>40</v>
      </c>
      <c r="V36" s="3" t="s">
        <v>40</v>
      </c>
      <c r="W36" s="0" t="n">
        <v>0.6073</v>
      </c>
      <c r="X36" s="0" t="n">
        <v>1.5</v>
      </c>
      <c r="Y36" s="0" t="n">
        <v>-0.8927</v>
      </c>
      <c r="Z36" s="0" t="n">
        <v>-1</v>
      </c>
      <c r="AA36" s="0" t="n">
        <v>3</v>
      </c>
      <c r="AB36" s="4" t="n">
        <f aca="false">I36*AA36*Z36</f>
        <v>-13506.3</v>
      </c>
      <c r="AC36" s="4" t="n">
        <f aca="false">AB36*1.18</f>
        <v>-15937.434</v>
      </c>
    </row>
    <row r="37" customFormat="false" ht="15" hidden="false" customHeight="false" outlineLevel="0" collapsed="false">
      <c r="A37" s="0" t="s">
        <v>29</v>
      </c>
      <c r="B37" s="2" t="n">
        <v>46034</v>
      </c>
      <c r="C37" s="3" t="s">
        <v>262</v>
      </c>
      <c r="D37" s="3" t="s">
        <v>31</v>
      </c>
      <c r="E37" s="3" t="s">
        <v>32</v>
      </c>
      <c r="F37" s="3" t="s">
        <v>51</v>
      </c>
      <c r="G37" s="0" t="n">
        <v>140</v>
      </c>
      <c r="H37" s="0" t="n">
        <v>625.59</v>
      </c>
      <c r="I37" s="0" t="n">
        <v>688.55</v>
      </c>
      <c r="J37" s="2" t="n">
        <v>46033</v>
      </c>
      <c r="K37" s="3" t="s">
        <v>263</v>
      </c>
      <c r="L37" s="2" t="n">
        <v>46033</v>
      </c>
      <c r="M37" s="3" t="s">
        <v>264</v>
      </c>
      <c r="N37" s="2" t="n">
        <v>46034</v>
      </c>
      <c r="O37" s="3" t="s">
        <v>265</v>
      </c>
      <c r="P37" s="3" t="s">
        <v>266</v>
      </c>
      <c r="Q37" s="2" t="n">
        <v>46034</v>
      </c>
      <c r="R37" s="3" t="s">
        <v>267</v>
      </c>
      <c r="S37" s="3" t="s">
        <v>57</v>
      </c>
      <c r="T37" s="3" t="s">
        <v>40</v>
      </c>
      <c r="U37" s="3" t="s">
        <v>40</v>
      </c>
      <c r="V37" s="3" t="s">
        <v>40</v>
      </c>
      <c r="W37" s="0" t="n">
        <v>1.1132</v>
      </c>
      <c r="X37" s="0" t="n">
        <v>1.5</v>
      </c>
      <c r="Y37" s="0" t="n">
        <v>-0.3868</v>
      </c>
      <c r="Z37" s="0" t="n">
        <v>-1</v>
      </c>
      <c r="AA37" s="0" t="n">
        <v>3</v>
      </c>
      <c r="AB37" s="4" t="n">
        <f aca="false">I37*AA37*Z37</f>
        <v>-2065.65</v>
      </c>
      <c r="AC37" s="4" t="n">
        <f aca="false">AB37*1.18</f>
        <v>-2437.467</v>
      </c>
    </row>
    <row r="38" customFormat="false" ht="15" hidden="false" customHeight="false" outlineLevel="0" collapsed="false">
      <c r="A38" s="0" t="s">
        <v>29</v>
      </c>
      <c r="B38" s="2" t="n">
        <v>46034</v>
      </c>
      <c r="C38" s="3" t="s">
        <v>268</v>
      </c>
      <c r="D38" s="3" t="s">
        <v>31</v>
      </c>
      <c r="E38" s="3" t="s">
        <v>32</v>
      </c>
      <c r="F38" s="3" t="s">
        <v>43</v>
      </c>
      <c r="G38" s="0" t="n">
        <v>163</v>
      </c>
      <c r="H38" s="0" t="n">
        <v>1555.42</v>
      </c>
      <c r="I38" s="0" t="n">
        <v>2333.2</v>
      </c>
      <c r="J38" s="2" t="n">
        <v>46032</v>
      </c>
      <c r="K38" s="3" t="s">
        <v>269</v>
      </c>
      <c r="L38" s="2" t="n">
        <v>46032</v>
      </c>
      <c r="M38" s="3" t="s">
        <v>270</v>
      </c>
      <c r="N38" s="2" t="n">
        <v>46033</v>
      </c>
      <c r="O38" s="3" t="s">
        <v>271</v>
      </c>
      <c r="P38" s="3" t="s">
        <v>272</v>
      </c>
      <c r="Q38" s="2" t="n">
        <v>46034</v>
      </c>
      <c r="R38" s="3" t="s">
        <v>273</v>
      </c>
      <c r="S38" s="3" t="s">
        <v>94</v>
      </c>
      <c r="T38" s="3" t="s">
        <v>274</v>
      </c>
      <c r="U38" s="3" t="s">
        <v>274</v>
      </c>
      <c r="V38" s="3" t="s">
        <v>274</v>
      </c>
      <c r="W38" s="0" t="n">
        <v>3.8823</v>
      </c>
      <c r="X38" s="0" t="n">
        <v>1.5</v>
      </c>
      <c r="Y38" s="0" t="n">
        <v>2.3823</v>
      </c>
      <c r="Z38" s="0" t="n">
        <v>2</v>
      </c>
      <c r="AA38" s="0" t="n">
        <v>5</v>
      </c>
      <c r="AB38" s="4" t="n">
        <f aca="false">I38*AA38*Z38</f>
        <v>23332</v>
      </c>
      <c r="AC38" s="4" t="n">
        <f aca="false">AB38*1.18</f>
        <v>27531.76</v>
      </c>
    </row>
    <row r="39" customFormat="false" ht="15" hidden="false" customHeight="false" outlineLevel="0" collapsed="false">
      <c r="A39" s="0" t="s">
        <v>29</v>
      </c>
      <c r="B39" s="2" t="n">
        <v>46034</v>
      </c>
      <c r="C39" s="3" t="s">
        <v>275</v>
      </c>
      <c r="D39" s="3" t="s">
        <v>31</v>
      </c>
      <c r="E39" s="3" t="s">
        <v>32</v>
      </c>
      <c r="F39" s="3" t="s">
        <v>43</v>
      </c>
      <c r="G39" s="0" t="n">
        <v>111</v>
      </c>
      <c r="H39" s="0" t="n">
        <v>1848.5</v>
      </c>
      <c r="I39" s="0" t="n">
        <v>2773.18</v>
      </c>
      <c r="J39" s="2" t="n">
        <v>46031</v>
      </c>
      <c r="K39" s="3" t="s">
        <v>276</v>
      </c>
      <c r="L39" s="2" t="n">
        <v>46031</v>
      </c>
      <c r="M39" s="3" t="s">
        <v>110</v>
      </c>
      <c r="N39" s="2" t="n">
        <v>46031</v>
      </c>
      <c r="O39" s="3" t="s">
        <v>277</v>
      </c>
      <c r="P39" s="3" t="s">
        <v>278</v>
      </c>
      <c r="Q39" s="2" t="n">
        <v>46034</v>
      </c>
      <c r="R39" s="3" t="s">
        <v>279</v>
      </c>
      <c r="S39" s="3" t="s">
        <v>87</v>
      </c>
      <c r="T39" s="3" t="s">
        <v>40</v>
      </c>
      <c r="U39" s="3" t="s">
        <v>40</v>
      </c>
      <c r="V39" s="3" t="s">
        <v>40</v>
      </c>
      <c r="W39" s="0" t="n">
        <v>3.4667</v>
      </c>
      <c r="X39" s="0" t="n">
        <v>1.5</v>
      </c>
      <c r="Y39" s="0" t="n">
        <v>1.9667</v>
      </c>
      <c r="Z39" s="0" t="n">
        <v>2</v>
      </c>
      <c r="AA39" s="0" t="n">
        <v>3</v>
      </c>
      <c r="AB39" s="4" t="n">
        <f aca="false">I39*AA39*Z39</f>
        <v>16639.08</v>
      </c>
      <c r="AC39" s="4" t="n">
        <f aca="false">AB39*1.18</f>
        <v>19634.1144</v>
      </c>
    </row>
    <row r="40" customFormat="false" ht="15" hidden="false" customHeight="false" outlineLevel="0" collapsed="false">
      <c r="A40" s="0" t="s">
        <v>29</v>
      </c>
      <c r="B40" s="2" t="n">
        <v>46034</v>
      </c>
      <c r="C40" s="3" t="s">
        <v>280</v>
      </c>
      <c r="D40" s="3" t="s">
        <v>31</v>
      </c>
      <c r="E40" s="3" t="s">
        <v>32</v>
      </c>
      <c r="F40" s="3" t="s">
        <v>43</v>
      </c>
      <c r="G40" s="0" t="n">
        <v>125</v>
      </c>
      <c r="H40" s="0" t="n">
        <v>1402.15</v>
      </c>
      <c r="I40" s="0" t="n">
        <v>1822.85</v>
      </c>
      <c r="J40" s="2" t="n">
        <v>46033</v>
      </c>
      <c r="K40" s="3" t="s">
        <v>281</v>
      </c>
      <c r="L40" s="2" t="n">
        <v>46034</v>
      </c>
      <c r="M40" s="3" t="s">
        <v>282</v>
      </c>
      <c r="N40" s="2" t="n">
        <v>46034</v>
      </c>
      <c r="O40" s="3" t="s">
        <v>283</v>
      </c>
      <c r="P40" s="3" t="s">
        <v>284</v>
      </c>
      <c r="Q40" s="2" t="n">
        <v>46034</v>
      </c>
      <c r="R40" s="3" t="s">
        <v>285</v>
      </c>
      <c r="S40" s="3" t="s">
        <v>182</v>
      </c>
      <c r="T40" s="3" t="s">
        <v>40</v>
      </c>
      <c r="U40" s="3" t="s">
        <v>40</v>
      </c>
      <c r="V40" s="3" t="s">
        <v>40</v>
      </c>
      <c r="W40" s="0" t="n">
        <v>2.1315</v>
      </c>
      <c r="X40" s="0" t="n">
        <v>1.5</v>
      </c>
      <c r="Y40" s="0" t="n">
        <v>0.6315</v>
      </c>
      <c r="Z40" s="0" t="n">
        <v>1</v>
      </c>
      <c r="AA40" s="0" t="n">
        <v>3</v>
      </c>
      <c r="AB40" s="4" t="n">
        <f aca="false">I40*AA40*Z40</f>
        <v>5468.55</v>
      </c>
      <c r="AC40" s="4" t="n">
        <f aca="false">AB40*1.18</f>
        <v>6452.889</v>
      </c>
    </row>
    <row r="41" customFormat="false" ht="15" hidden="false" customHeight="false" outlineLevel="0" collapsed="false">
      <c r="A41" s="0" t="s">
        <v>41</v>
      </c>
      <c r="B41" s="2" t="n">
        <v>46035</v>
      </c>
      <c r="C41" s="3" t="s">
        <v>286</v>
      </c>
      <c r="D41" s="3" t="s">
        <v>31</v>
      </c>
      <c r="E41" s="3" t="s">
        <v>32</v>
      </c>
      <c r="F41" s="3" t="s">
        <v>51</v>
      </c>
      <c r="G41" s="0" t="n">
        <v>131</v>
      </c>
      <c r="H41" s="0" t="n">
        <v>2635.56</v>
      </c>
      <c r="I41" s="0" t="n">
        <v>3953.63</v>
      </c>
      <c r="J41" s="2" t="n">
        <v>46034</v>
      </c>
      <c r="K41" s="3" t="s">
        <v>287</v>
      </c>
      <c r="L41" s="2" t="n">
        <v>46034</v>
      </c>
      <c r="M41" s="3" t="s">
        <v>288</v>
      </c>
      <c r="N41" s="2" t="n">
        <v>46035</v>
      </c>
      <c r="O41" s="3" t="s">
        <v>289</v>
      </c>
      <c r="P41" s="3" t="s">
        <v>290</v>
      </c>
      <c r="Q41" s="2" t="n">
        <v>46035</v>
      </c>
      <c r="R41" s="3" t="s">
        <v>291</v>
      </c>
      <c r="S41" s="3" t="s">
        <v>195</v>
      </c>
      <c r="T41" s="3" t="s">
        <v>40</v>
      </c>
      <c r="U41" s="3" t="s">
        <v>40</v>
      </c>
      <c r="V41" s="3" t="s">
        <v>40</v>
      </c>
      <c r="W41" s="0" t="n">
        <v>3.0299</v>
      </c>
      <c r="X41" s="0" t="n">
        <v>1.5</v>
      </c>
      <c r="Y41" s="0" t="n">
        <v>1.5299</v>
      </c>
      <c r="Z41" s="0" t="n">
        <v>2</v>
      </c>
      <c r="AA41" s="0" t="n">
        <v>3</v>
      </c>
      <c r="AB41" s="4" t="n">
        <f aca="false">I41*AA41*Z41</f>
        <v>23721.78</v>
      </c>
      <c r="AC41" s="4" t="n">
        <f aca="false">AB41*1.18</f>
        <v>27991.7004</v>
      </c>
    </row>
    <row r="42" customFormat="false" ht="15" hidden="false" customHeight="false" outlineLevel="0" collapsed="false">
      <c r="A42" s="0" t="s">
        <v>41</v>
      </c>
      <c r="B42" s="2" t="n">
        <v>46035</v>
      </c>
      <c r="C42" s="3" t="s">
        <v>292</v>
      </c>
      <c r="D42" s="3" t="s">
        <v>31</v>
      </c>
      <c r="E42" s="3" t="s">
        <v>32</v>
      </c>
      <c r="F42" s="3" t="s">
        <v>51</v>
      </c>
      <c r="G42" s="0" t="n">
        <v>86</v>
      </c>
      <c r="H42" s="0" t="n">
        <v>1109.52</v>
      </c>
      <c r="I42" s="0" t="n">
        <v>1109.64</v>
      </c>
      <c r="J42" s="2" t="n">
        <v>46032</v>
      </c>
      <c r="K42" s="3" t="s">
        <v>293</v>
      </c>
      <c r="L42" s="2" t="n">
        <v>46032</v>
      </c>
      <c r="M42" s="3" t="s">
        <v>294</v>
      </c>
      <c r="N42" s="2" t="n">
        <v>46033</v>
      </c>
      <c r="O42" s="3" t="s">
        <v>295</v>
      </c>
      <c r="P42" s="3" t="s">
        <v>296</v>
      </c>
      <c r="Q42" s="2" t="n">
        <v>46035</v>
      </c>
      <c r="R42" s="3" t="s">
        <v>297</v>
      </c>
      <c r="S42" s="3" t="s">
        <v>49</v>
      </c>
      <c r="T42" s="3" t="s">
        <v>40</v>
      </c>
      <c r="U42" s="3" t="s">
        <v>40</v>
      </c>
      <c r="V42" s="3" t="s">
        <v>40</v>
      </c>
      <c r="W42" s="0" t="n">
        <v>4.449</v>
      </c>
      <c r="X42" s="0" t="n">
        <v>1.5</v>
      </c>
      <c r="Y42" s="0" t="n">
        <v>2.949</v>
      </c>
      <c r="Z42" s="0" t="n">
        <v>3</v>
      </c>
      <c r="AA42" s="0" t="n">
        <v>3</v>
      </c>
      <c r="AB42" s="4" t="n">
        <f aca="false">I42*AA42*Z42</f>
        <v>9986.76</v>
      </c>
      <c r="AC42" s="4" t="n">
        <f aca="false">AB42*1.18</f>
        <v>11784.3768</v>
      </c>
    </row>
    <row r="43" customFormat="false" ht="15" hidden="false" customHeight="false" outlineLevel="0" collapsed="false">
      <c r="A43" s="0" t="s">
        <v>29</v>
      </c>
      <c r="B43" s="2" t="n">
        <v>46035</v>
      </c>
      <c r="C43" s="3" t="s">
        <v>298</v>
      </c>
      <c r="D43" s="3" t="s">
        <v>31</v>
      </c>
      <c r="E43" s="3" t="s">
        <v>32</v>
      </c>
      <c r="F43" s="3" t="s">
        <v>33</v>
      </c>
      <c r="G43" s="0" t="n">
        <v>197</v>
      </c>
      <c r="H43" s="0" t="n">
        <v>3123.74</v>
      </c>
      <c r="I43" s="0" t="n">
        <v>3123.98</v>
      </c>
      <c r="J43" s="2" t="n">
        <v>46032</v>
      </c>
      <c r="K43" s="3" t="s">
        <v>299</v>
      </c>
      <c r="L43" s="2" t="n">
        <v>46032</v>
      </c>
      <c r="M43" s="3" t="s">
        <v>300</v>
      </c>
      <c r="N43" s="2" t="n">
        <v>46033</v>
      </c>
      <c r="O43" s="3" t="s">
        <v>301</v>
      </c>
      <c r="P43" s="3" t="s">
        <v>302</v>
      </c>
      <c r="Q43" s="2" t="n">
        <v>46035</v>
      </c>
      <c r="R43" s="3" t="s">
        <v>303</v>
      </c>
      <c r="S43" s="3" t="s">
        <v>70</v>
      </c>
      <c r="T43" s="3" t="s">
        <v>40</v>
      </c>
      <c r="U43" s="3" t="s">
        <v>40</v>
      </c>
      <c r="V43" s="3" t="s">
        <v>40</v>
      </c>
      <c r="W43" s="0" t="n">
        <v>0.9037</v>
      </c>
      <c r="X43" s="0" t="n">
        <v>1.5</v>
      </c>
      <c r="Y43" s="0" t="n">
        <v>-0.5963</v>
      </c>
      <c r="Z43" s="0" t="n">
        <v>-1</v>
      </c>
      <c r="AA43" s="0" t="n">
        <v>3</v>
      </c>
      <c r="AB43" s="4" t="n">
        <f aca="false">I43*AA43*Z43</f>
        <v>-9371.94</v>
      </c>
      <c r="AC43" s="4" t="n">
        <f aca="false">AB43*1.18</f>
        <v>-11058.8892</v>
      </c>
    </row>
    <row r="44" customFormat="false" ht="15" hidden="false" customHeight="false" outlineLevel="0" collapsed="false">
      <c r="A44" s="0" t="s">
        <v>41</v>
      </c>
      <c r="B44" s="2" t="n">
        <v>46036</v>
      </c>
      <c r="C44" s="3" t="s">
        <v>304</v>
      </c>
      <c r="D44" s="3" t="s">
        <v>73</v>
      </c>
      <c r="E44" s="3" t="s">
        <v>32</v>
      </c>
      <c r="F44" s="3" t="s">
        <v>33</v>
      </c>
      <c r="G44" s="0" t="n">
        <v>174</v>
      </c>
      <c r="H44" s="0" t="n">
        <v>483.23</v>
      </c>
      <c r="I44" s="0" t="n">
        <v>483.26</v>
      </c>
      <c r="J44" s="2" t="n">
        <v>46033</v>
      </c>
      <c r="K44" s="3" t="s">
        <v>305</v>
      </c>
      <c r="L44" s="2" t="n">
        <v>46033</v>
      </c>
      <c r="M44" s="3" t="s">
        <v>306</v>
      </c>
      <c r="N44" s="2" t="n">
        <v>46033</v>
      </c>
      <c r="O44" s="3" t="s">
        <v>263</v>
      </c>
      <c r="P44" s="3" t="s">
        <v>307</v>
      </c>
      <c r="Q44" s="2" t="n">
        <v>46036</v>
      </c>
      <c r="R44" s="3" t="s">
        <v>308</v>
      </c>
      <c r="S44" s="3" t="s">
        <v>121</v>
      </c>
      <c r="T44" s="3" t="s">
        <v>40</v>
      </c>
      <c r="U44" s="3" t="s">
        <v>40</v>
      </c>
      <c r="V44" s="3" t="s">
        <v>40</v>
      </c>
      <c r="W44" s="0" t="n">
        <v>4.2096</v>
      </c>
      <c r="X44" s="0" t="n">
        <v>1.5</v>
      </c>
      <c r="Y44" s="0" t="n">
        <v>2.7096</v>
      </c>
      <c r="Z44" s="0" t="n">
        <v>3</v>
      </c>
      <c r="AA44" s="0" t="n">
        <v>3</v>
      </c>
      <c r="AB44" s="4" t="n">
        <f aca="false">I44*AA44*Z44</f>
        <v>4349.34</v>
      </c>
      <c r="AC44" s="4" t="n">
        <f aca="false">AB44*1.18</f>
        <v>5132.2212</v>
      </c>
    </row>
    <row r="45" customFormat="false" ht="15" hidden="false" customHeight="false" outlineLevel="0" collapsed="false">
      <c r="A45" s="0" t="s">
        <v>41</v>
      </c>
      <c r="B45" s="2" t="n">
        <v>46036</v>
      </c>
      <c r="C45" s="3" t="s">
        <v>309</v>
      </c>
      <c r="D45" s="3" t="s">
        <v>31</v>
      </c>
      <c r="E45" s="3" t="s">
        <v>32</v>
      </c>
      <c r="F45" s="3" t="s">
        <v>43</v>
      </c>
      <c r="G45" s="0" t="n">
        <v>67</v>
      </c>
      <c r="H45" s="0" t="n">
        <v>2416.05</v>
      </c>
      <c r="I45" s="0" t="n">
        <v>3624.21</v>
      </c>
      <c r="J45" s="2" t="n">
        <v>46033</v>
      </c>
      <c r="K45" s="3" t="s">
        <v>310</v>
      </c>
      <c r="L45" s="2" t="n">
        <v>46033</v>
      </c>
      <c r="M45" s="3" t="s">
        <v>191</v>
      </c>
      <c r="N45" s="2" t="n">
        <v>46034</v>
      </c>
      <c r="O45" s="3" t="s">
        <v>311</v>
      </c>
      <c r="P45" s="3" t="s">
        <v>312</v>
      </c>
      <c r="Q45" s="2" t="n">
        <v>46036</v>
      </c>
      <c r="R45" s="3" t="s">
        <v>313</v>
      </c>
      <c r="S45" s="3" t="s">
        <v>79</v>
      </c>
      <c r="T45" s="3" t="s">
        <v>40</v>
      </c>
      <c r="U45" s="3" t="s">
        <v>40</v>
      </c>
      <c r="V45" s="3" t="s">
        <v>40</v>
      </c>
      <c r="W45" s="0" t="n">
        <v>0.4583</v>
      </c>
      <c r="X45" s="0" t="n">
        <v>1.5</v>
      </c>
      <c r="Y45" s="0" t="n">
        <v>-1.0417</v>
      </c>
      <c r="Z45" s="0" t="n">
        <v>-1</v>
      </c>
      <c r="AA45" s="0" t="n">
        <v>3</v>
      </c>
      <c r="AB45" s="4" t="n">
        <f aca="false">I45*AA45*Z45</f>
        <v>-10872.63</v>
      </c>
      <c r="AC45" s="4" t="n">
        <f aca="false">AB45*1.18</f>
        <v>-12829.7034</v>
      </c>
    </row>
    <row r="46" customFormat="false" ht="15" hidden="false" customHeight="false" outlineLevel="0" collapsed="false">
      <c r="A46" s="0" t="s">
        <v>29</v>
      </c>
      <c r="B46" s="2" t="n">
        <v>46036</v>
      </c>
      <c r="C46" s="3" t="s">
        <v>314</v>
      </c>
      <c r="D46" s="3" t="s">
        <v>31</v>
      </c>
      <c r="E46" s="3" t="s">
        <v>32</v>
      </c>
      <c r="F46" s="3" t="s">
        <v>43</v>
      </c>
      <c r="G46" s="0" t="n">
        <v>100</v>
      </c>
      <c r="H46" s="0" t="n">
        <v>1438.72</v>
      </c>
      <c r="I46" s="0" t="n">
        <v>1439.01</v>
      </c>
      <c r="J46" s="2" t="n">
        <v>46035</v>
      </c>
      <c r="K46" s="3" t="s">
        <v>315</v>
      </c>
      <c r="L46" s="2" t="n">
        <v>46035</v>
      </c>
      <c r="M46" s="3" t="s">
        <v>316</v>
      </c>
      <c r="N46" s="2" t="n">
        <v>46035</v>
      </c>
      <c r="O46" s="3" t="s">
        <v>317</v>
      </c>
      <c r="P46" s="3" t="s">
        <v>318</v>
      </c>
      <c r="Q46" s="2" t="n">
        <v>46036</v>
      </c>
      <c r="R46" s="3" t="s">
        <v>319</v>
      </c>
      <c r="S46" s="3" t="s">
        <v>87</v>
      </c>
      <c r="T46" s="3" t="s">
        <v>40</v>
      </c>
      <c r="U46" s="3" t="s">
        <v>40</v>
      </c>
      <c r="V46" s="3" t="s">
        <v>40</v>
      </c>
      <c r="W46" s="0" t="n">
        <v>3.6232</v>
      </c>
      <c r="X46" s="0" t="n">
        <v>1.5</v>
      </c>
      <c r="Y46" s="0" t="n">
        <v>2.1232</v>
      </c>
      <c r="Z46" s="0" t="n">
        <v>2</v>
      </c>
      <c r="AA46" s="0" t="n">
        <v>3</v>
      </c>
      <c r="AB46" s="4" t="n">
        <f aca="false">I46*AA46*Z46</f>
        <v>8634.06</v>
      </c>
      <c r="AC46" s="4" t="n">
        <f aca="false">AB46*1.18</f>
        <v>10188.1908</v>
      </c>
    </row>
    <row r="47" customFormat="false" ht="15" hidden="false" customHeight="false" outlineLevel="0" collapsed="false">
      <c r="A47" s="0" t="s">
        <v>29</v>
      </c>
      <c r="B47" s="2" t="n">
        <v>46036</v>
      </c>
      <c r="C47" s="3" t="s">
        <v>320</v>
      </c>
      <c r="D47" s="3" t="s">
        <v>31</v>
      </c>
      <c r="E47" s="3" t="s">
        <v>32</v>
      </c>
      <c r="F47" s="3" t="s">
        <v>33</v>
      </c>
      <c r="G47" s="0" t="n">
        <v>1</v>
      </c>
      <c r="H47" s="0" t="n">
        <v>1865.66</v>
      </c>
      <c r="I47" s="0" t="n">
        <v>2052.33</v>
      </c>
      <c r="J47" s="2" t="n">
        <v>46033</v>
      </c>
      <c r="K47" s="3" t="s">
        <v>321</v>
      </c>
      <c r="L47" s="2" t="n">
        <v>46034</v>
      </c>
      <c r="M47" s="3" t="s">
        <v>322</v>
      </c>
      <c r="N47" s="2" t="n">
        <v>46034</v>
      </c>
      <c r="O47" s="3" t="s">
        <v>323</v>
      </c>
      <c r="P47" s="3" t="s">
        <v>324</v>
      </c>
      <c r="Q47" s="2" t="n">
        <v>46036</v>
      </c>
      <c r="R47" s="3" t="s">
        <v>325</v>
      </c>
      <c r="S47" s="3" t="s">
        <v>189</v>
      </c>
      <c r="T47" s="3" t="s">
        <v>40</v>
      </c>
      <c r="U47" s="3" t="s">
        <v>40</v>
      </c>
      <c r="V47" s="3" t="s">
        <v>40</v>
      </c>
      <c r="W47" s="0" t="n">
        <v>4.7464</v>
      </c>
      <c r="X47" s="0" t="n">
        <v>1.5</v>
      </c>
      <c r="Y47" s="0" t="n">
        <v>3.2464</v>
      </c>
      <c r="Z47" s="0" t="n">
        <v>3</v>
      </c>
      <c r="AA47" s="0" t="n">
        <v>3</v>
      </c>
      <c r="AB47" s="4" t="n">
        <f aca="false">I47*AA47*Z47</f>
        <v>18470.97</v>
      </c>
      <c r="AC47" s="4" t="n">
        <f aca="false">AB47*1.18</f>
        <v>21795.7446</v>
      </c>
    </row>
    <row r="48" customFormat="false" ht="15" hidden="false" customHeight="false" outlineLevel="0" collapsed="false">
      <c r="A48" s="0" t="s">
        <v>41</v>
      </c>
      <c r="B48" s="2" t="n">
        <v>46037</v>
      </c>
      <c r="C48" s="3" t="s">
        <v>326</v>
      </c>
      <c r="D48" s="3" t="s">
        <v>73</v>
      </c>
      <c r="E48" s="3" t="s">
        <v>32</v>
      </c>
      <c r="F48" s="3" t="s">
        <v>43</v>
      </c>
      <c r="G48" s="0" t="n">
        <v>211</v>
      </c>
      <c r="H48" s="0" t="n">
        <v>2011.53</v>
      </c>
      <c r="I48" s="0" t="n">
        <v>2615.03</v>
      </c>
      <c r="J48" s="2" t="n">
        <v>46035</v>
      </c>
      <c r="K48" s="3" t="s">
        <v>327</v>
      </c>
      <c r="L48" s="2" t="n">
        <v>46035</v>
      </c>
      <c r="M48" s="3" t="s">
        <v>328</v>
      </c>
      <c r="N48" s="2" t="n">
        <v>46035</v>
      </c>
      <c r="O48" s="3" t="s">
        <v>329</v>
      </c>
      <c r="P48" s="3" t="s">
        <v>330</v>
      </c>
      <c r="Q48" s="2" t="n">
        <v>46037</v>
      </c>
      <c r="R48" s="3" t="s">
        <v>331</v>
      </c>
      <c r="S48" s="3" t="s">
        <v>39</v>
      </c>
      <c r="T48" s="3" t="s">
        <v>40</v>
      </c>
      <c r="U48" s="3" t="s">
        <v>40</v>
      </c>
      <c r="V48" s="3" t="s">
        <v>40</v>
      </c>
      <c r="W48" s="0" t="n">
        <v>4.5773</v>
      </c>
      <c r="X48" s="0" t="n">
        <v>1.5</v>
      </c>
      <c r="Y48" s="0" t="n">
        <v>3.0773</v>
      </c>
      <c r="Z48" s="0" t="n">
        <v>3</v>
      </c>
      <c r="AA48" s="0" t="n">
        <v>3</v>
      </c>
      <c r="AB48" s="4" t="n">
        <f aca="false">I48*AA48*Z48</f>
        <v>23535.27</v>
      </c>
      <c r="AC48" s="4" t="n">
        <f aca="false">AB48*1.18</f>
        <v>27771.6186</v>
      </c>
    </row>
    <row r="49" customFormat="false" ht="15" hidden="false" customHeight="false" outlineLevel="0" collapsed="false">
      <c r="A49" s="0" t="s">
        <v>41</v>
      </c>
      <c r="B49" s="2" t="n">
        <v>46037</v>
      </c>
      <c r="C49" s="3" t="s">
        <v>332</v>
      </c>
      <c r="D49" s="3" t="s">
        <v>73</v>
      </c>
      <c r="E49" s="3" t="s">
        <v>32</v>
      </c>
      <c r="F49" s="3" t="s">
        <v>43</v>
      </c>
      <c r="G49" s="0" t="n">
        <v>195</v>
      </c>
      <c r="H49" s="0" t="n">
        <v>1695.12</v>
      </c>
      <c r="I49" s="0" t="n">
        <v>1695.2</v>
      </c>
      <c r="J49" s="2" t="n">
        <v>46036</v>
      </c>
      <c r="K49" s="3" t="s">
        <v>333</v>
      </c>
      <c r="L49" s="2" t="n">
        <v>46036</v>
      </c>
      <c r="M49" s="3" t="s">
        <v>334</v>
      </c>
      <c r="N49" s="2" t="n">
        <v>46037</v>
      </c>
      <c r="O49" s="3" t="s">
        <v>335</v>
      </c>
      <c r="P49" s="3" t="s">
        <v>336</v>
      </c>
      <c r="Q49" s="2" t="n">
        <v>46037</v>
      </c>
      <c r="R49" s="3" t="s">
        <v>337</v>
      </c>
      <c r="S49" s="3" t="s">
        <v>338</v>
      </c>
      <c r="T49" s="3" t="s">
        <v>40</v>
      </c>
      <c r="U49" s="3" t="s">
        <v>40</v>
      </c>
      <c r="V49" s="3" t="s">
        <v>40</v>
      </c>
      <c r="W49" s="0" t="n">
        <v>0.6352</v>
      </c>
      <c r="X49" s="0" t="n">
        <v>1.5</v>
      </c>
      <c r="Y49" s="0" t="n">
        <v>-0.8648</v>
      </c>
      <c r="Z49" s="0" t="n">
        <v>-1</v>
      </c>
      <c r="AA49" s="0" t="n">
        <v>3</v>
      </c>
      <c r="AB49" s="4" t="n">
        <f aca="false">I49*AA49*Z49</f>
        <v>-5085.6</v>
      </c>
      <c r="AC49" s="4" t="n">
        <f aca="false">AB49*1.18</f>
        <v>-6001.008</v>
      </c>
    </row>
    <row r="50" customFormat="false" ht="15" hidden="false" customHeight="false" outlineLevel="0" collapsed="false">
      <c r="A50" s="0" t="s">
        <v>29</v>
      </c>
      <c r="B50" s="2" t="n">
        <v>46037</v>
      </c>
      <c r="C50" s="3" t="s">
        <v>339</v>
      </c>
      <c r="D50" s="3" t="s">
        <v>31</v>
      </c>
      <c r="E50" s="3" t="s">
        <v>32</v>
      </c>
      <c r="F50" s="3" t="s">
        <v>33</v>
      </c>
      <c r="G50" s="0" t="n">
        <v>116</v>
      </c>
      <c r="H50" s="0" t="n">
        <v>2259.46</v>
      </c>
      <c r="I50" s="0" t="n">
        <v>2259.8</v>
      </c>
      <c r="J50" s="2" t="n">
        <v>46036</v>
      </c>
      <c r="K50" s="3" t="s">
        <v>340</v>
      </c>
      <c r="L50" s="2" t="n">
        <v>46036</v>
      </c>
      <c r="M50" s="3" t="s">
        <v>341</v>
      </c>
      <c r="N50" s="2" t="n">
        <v>46037</v>
      </c>
      <c r="O50" s="3" t="s">
        <v>342</v>
      </c>
      <c r="P50" s="3" t="s">
        <v>343</v>
      </c>
      <c r="Q50" s="2" t="n">
        <v>46037</v>
      </c>
      <c r="R50" s="3" t="s">
        <v>131</v>
      </c>
      <c r="S50" s="3" t="s">
        <v>79</v>
      </c>
      <c r="T50" s="3" t="s">
        <v>40</v>
      </c>
      <c r="U50" s="3" t="s">
        <v>40</v>
      </c>
      <c r="V50" s="3" t="s">
        <v>40</v>
      </c>
      <c r="W50" s="0" t="n">
        <v>2.1297</v>
      </c>
      <c r="X50" s="0" t="n">
        <v>1.5</v>
      </c>
      <c r="Y50" s="0" t="n">
        <v>0.6297</v>
      </c>
      <c r="Z50" s="0" t="n">
        <v>1</v>
      </c>
      <c r="AA50" s="0" t="n">
        <v>3</v>
      </c>
      <c r="AB50" s="4" t="n">
        <f aca="false">I50*AA50*Z50</f>
        <v>6779.4</v>
      </c>
      <c r="AC50" s="4" t="n">
        <f aca="false">AB50*1.18</f>
        <v>7999.692</v>
      </c>
    </row>
    <row r="51" customFormat="false" ht="15" hidden="false" customHeight="false" outlineLevel="0" collapsed="false">
      <c r="A51" s="0" t="s">
        <v>29</v>
      </c>
      <c r="B51" s="2" t="n">
        <v>46037</v>
      </c>
      <c r="C51" s="3" t="s">
        <v>344</v>
      </c>
      <c r="D51" s="3" t="s">
        <v>73</v>
      </c>
      <c r="E51" s="3" t="s">
        <v>32</v>
      </c>
      <c r="F51" s="3" t="s">
        <v>33</v>
      </c>
      <c r="G51" s="0" t="n">
        <v>62</v>
      </c>
      <c r="H51" s="0" t="n">
        <v>654.9</v>
      </c>
      <c r="I51" s="0" t="n">
        <v>655.02</v>
      </c>
      <c r="J51" s="2" t="n">
        <v>46034</v>
      </c>
      <c r="K51" s="3" t="s">
        <v>345</v>
      </c>
      <c r="L51" s="2" t="n">
        <v>46035</v>
      </c>
      <c r="M51" s="3" t="s">
        <v>346</v>
      </c>
      <c r="N51" s="2" t="n">
        <v>46035</v>
      </c>
      <c r="O51" s="3" t="s">
        <v>347</v>
      </c>
      <c r="P51" s="3" t="s">
        <v>348</v>
      </c>
      <c r="Q51" s="2" t="n">
        <v>46037</v>
      </c>
      <c r="R51" s="3" t="s">
        <v>349</v>
      </c>
      <c r="S51" s="3" t="s">
        <v>157</v>
      </c>
      <c r="T51" s="3" t="s">
        <v>40</v>
      </c>
      <c r="U51" s="3" t="s">
        <v>40</v>
      </c>
      <c r="V51" s="3" t="s">
        <v>40</v>
      </c>
      <c r="W51" s="0" t="n">
        <v>3.8612</v>
      </c>
      <c r="X51" s="0" t="n">
        <v>1.5</v>
      </c>
      <c r="Y51" s="0" t="n">
        <v>2.3612</v>
      </c>
      <c r="Z51" s="0" t="n">
        <v>2</v>
      </c>
      <c r="AA51" s="0" t="n">
        <v>3</v>
      </c>
      <c r="AB51" s="4" t="n">
        <f aca="false">I51*AA51*Z51</f>
        <v>3930.12</v>
      </c>
      <c r="AC51" s="4" t="n">
        <f aca="false">AB51*1.18</f>
        <v>4637.5416</v>
      </c>
    </row>
    <row r="52" customFormat="false" ht="15" hidden="false" customHeight="false" outlineLevel="0" collapsed="false">
      <c r="A52" s="0" t="s">
        <v>41</v>
      </c>
      <c r="B52" s="2" t="n">
        <v>46038</v>
      </c>
      <c r="C52" s="3" t="s">
        <v>350</v>
      </c>
      <c r="D52" s="3" t="s">
        <v>31</v>
      </c>
      <c r="E52" s="3" t="s">
        <v>32</v>
      </c>
      <c r="F52" s="3" t="s">
        <v>33</v>
      </c>
      <c r="G52" s="0" t="n">
        <v>54</v>
      </c>
      <c r="H52" s="0" t="n">
        <v>3165.22</v>
      </c>
      <c r="I52" s="0" t="n">
        <v>3481.89</v>
      </c>
      <c r="J52" s="2" t="n">
        <v>46035</v>
      </c>
      <c r="K52" s="3" t="s">
        <v>351</v>
      </c>
      <c r="L52" s="2" t="n">
        <v>46035</v>
      </c>
      <c r="M52" s="3" t="s">
        <v>352</v>
      </c>
      <c r="N52" s="2" t="n">
        <v>46035</v>
      </c>
      <c r="O52" s="3" t="s">
        <v>353</v>
      </c>
      <c r="P52" s="3" t="s">
        <v>354</v>
      </c>
      <c r="Q52" s="2" t="n">
        <v>46038</v>
      </c>
      <c r="R52" s="3" t="s">
        <v>130</v>
      </c>
      <c r="S52" s="3" t="s">
        <v>39</v>
      </c>
      <c r="T52" s="3" t="s">
        <v>40</v>
      </c>
      <c r="U52" s="3" t="s">
        <v>40</v>
      </c>
      <c r="V52" s="3" t="s">
        <v>40</v>
      </c>
      <c r="W52" s="0" t="n">
        <v>5.4622</v>
      </c>
      <c r="X52" s="0" t="n">
        <v>1.5</v>
      </c>
      <c r="Y52" s="0" t="n">
        <v>3.9622</v>
      </c>
      <c r="Z52" s="0" t="n">
        <v>4</v>
      </c>
      <c r="AA52" s="0" t="n">
        <v>3</v>
      </c>
      <c r="AB52" s="4" t="n">
        <f aca="false">I52*AA52*Z52</f>
        <v>41782.68</v>
      </c>
      <c r="AC52" s="4" t="n">
        <f aca="false">AB52*1.18</f>
        <v>49303.5624</v>
      </c>
    </row>
    <row r="53" customFormat="false" ht="15" hidden="false" customHeight="false" outlineLevel="0" collapsed="false">
      <c r="A53" s="0" t="s">
        <v>41</v>
      </c>
      <c r="B53" s="2" t="n">
        <v>46038</v>
      </c>
      <c r="C53" s="3" t="s">
        <v>355</v>
      </c>
      <c r="D53" s="3" t="s">
        <v>31</v>
      </c>
      <c r="E53" s="3" t="s">
        <v>32</v>
      </c>
      <c r="F53" s="3" t="s">
        <v>43</v>
      </c>
      <c r="G53" s="0" t="n">
        <v>16</v>
      </c>
      <c r="H53" s="0" t="n">
        <v>3107.48</v>
      </c>
      <c r="I53" s="0" t="n">
        <v>3107.83</v>
      </c>
      <c r="J53" s="2" t="n">
        <v>46035</v>
      </c>
      <c r="K53" s="3" t="s">
        <v>356</v>
      </c>
      <c r="L53" s="2" t="n">
        <v>46035</v>
      </c>
      <c r="M53" s="3" t="s">
        <v>118</v>
      </c>
      <c r="N53" s="2" t="n">
        <v>46036</v>
      </c>
      <c r="O53" s="3" t="s">
        <v>357</v>
      </c>
      <c r="P53" s="3" t="s">
        <v>358</v>
      </c>
      <c r="Q53" s="2" t="n">
        <v>46038</v>
      </c>
      <c r="R53" s="3" t="s">
        <v>263</v>
      </c>
      <c r="S53" s="3" t="s">
        <v>338</v>
      </c>
      <c r="T53" s="3" t="s">
        <v>40</v>
      </c>
      <c r="U53" s="3" t="s">
        <v>40</v>
      </c>
      <c r="V53" s="3" t="s">
        <v>40</v>
      </c>
      <c r="W53" s="0" t="n">
        <v>0.5902</v>
      </c>
      <c r="X53" s="0" t="n">
        <v>1.5</v>
      </c>
      <c r="Y53" s="0" t="n">
        <v>-0.9098</v>
      </c>
      <c r="Z53" s="0" t="n">
        <v>-1</v>
      </c>
      <c r="AA53" s="0" t="n">
        <v>3</v>
      </c>
      <c r="AB53" s="4" t="n">
        <f aca="false">I53*AA53*Z53</f>
        <v>-9323.49</v>
      </c>
      <c r="AC53" s="4" t="n">
        <f aca="false">AB53*1.18</f>
        <v>-11001.7182</v>
      </c>
    </row>
    <row r="54" customFormat="false" ht="15" hidden="false" customHeight="false" outlineLevel="0" collapsed="false">
      <c r="A54" s="0" t="s">
        <v>41</v>
      </c>
      <c r="B54" s="2" t="n">
        <v>46038</v>
      </c>
      <c r="C54" s="3" t="s">
        <v>359</v>
      </c>
      <c r="D54" s="3" t="s">
        <v>31</v>
      </c>
      <c r="E54" s="3" t="s">
        <v>32</v>
      </c>
      <c r="F54" s="3" t="s">
        <v>33</v>
      </c>
      <c r="G54" s="0" t="n">
        <v>111</v>
      </c>
      <c r="H54" s="0" t="n">
        <v>2599.47</v>
      </c>
      <c r="I54" s="0" t="n">
        <v>2599.53</v>
      </c>
      <c r="J54" s="2" t="n">
        <v>46036</v>
      </c>
      <c r="K54" s="3" t="s">
        <v>360</v>
      </c>
      <c r="L54" s="2" t="n">
        <v>46037</v>
      </c>
      <c r="M54" s="3" t="s">
        <v>361</v>
      </c>
      <c r="N54" s="2" t="n">
        <v>46036</v>
      </c>
      <c r="O54" s="3" t="s">
        <v>362</v>
      </c>
      <c r="P54" s="3" t="s">
        <v>363</v>
      </c>
      <c r="Q54" s="2" t="n">
        <v>46038</v>
      </c>
      <c r="R54" s="3" t="s">
        <v>364</v>
      </c>
      <c r="S54" s="3" t="s">
        <v>365</v>
      </c>
      <c r="T54" s="3" t="s">
        <v>40</v>
      </c>
      <c r="U54" s="3" t="s">
        <v>40</v>
      </c>
      <c r="V54" s="3" t="s">
        <v>40</v>
      </c>
      <c r="W54" s="0" t="n">
        <v>2.7056</v>
      </c>
      <c r="X54" s="0" t="n">
        <v>1.5</v>
      </c>
      <c r="Y54" s="0" t="n">
        <v>1.2056</v>
      </c>
      <c r="Z54" s="0" t="n">
        <v>1</v>
      </c>
      <c r="AA54" s="0" t="n">
        <v>3</v>
      </c>
      <c r="AB54" s="4" t="n">
        <f aca="false">I54*AA54*Z54</f>
        <v>7798.59</v>
      </c>
      <c r="AC54" s="4" t="n">
        <f aca="false">AB54*1.18</f>
        <v>9202.3362</v>
      </c>
    </row>
    <row r="55" customFormat="false" ht="15" hidden="false" customHeight="false" outlineLevel="0" collapsed="false">
      <c r="A55" s="0" t="s">
        <v>41</v>
      </c>
      <c r="B55" s="2" t="n">
        <v>46039</v>
      </c>
      <c r="C55" s="3" t="s">
        <v>366</v>
      </c>
      <c r="D55" s="3" t="s">
        <v>73</v>
      </c>
      <c r="E55" s="3" t="s">
        <v>32</v>
      </c>
      <c r="F55" s="3" t="s">
        <v>33</v>
      </c>
      <c r="G55" s="0" t="n">
        <v>178</v>
      </c>
      <c r="H55" s="0" t="n">
        <v>2512.94</v>
      </c>
      <c r="I55" s="0" t="n">
        <v>3769.42</v>
      </c>
      <c r="J55" s="2" t="n">
        <v>46038</v>
      </c>
      <c r="K55" s="3" t="s">
        <v>367</v>
      </c>
      <c r="L55" s="2" t="n">
        <v>46039</v>
      </c>
      <c r="M55" s="3" t="s">
        <v>368</v>
      </c>
      <c r="N55" s="2" t="n">
        <v>46039</v>
      </c>
      <c r="O55" s="3" t="s">
        <v>369</v>
      </c>
      <c r="P55" s="3" t="s">
        <v>370</v>
      </c>
      <c r="Q55" s="2" t="n">
        <v>46039</v>
      </c>
      <c r="R55" s="3" t="s">
        <v>371</v>
      </c>
      <c r="S55" s="3" t="s">
        <v>157</v>
      </c>
      <c r="T55" s="3" t="s">
        <v>40</v>
      </c>
      <c r="U55" s="3" t="s">
        <v>40</v>
      </c>
      <c r="V55" s="3" t="s">
        <v>40</v>
      </c>
      <c r="W55" s="0" t="n">
        <v>1.872</v>
      </c>
      <c r="X55" s="0" t="n">
        <v>1.5</v>
      </c>
      <c r="Y55" s="0" t="n">
        <v>0.372</v>
      </c>
      <c r="Z55" s="0" t="n">
        <v>1</v>
      </c>
      <c r="AA55" s="0" t="n">
        <v>3</v>
      </c>
      <c r="AB55" s="4" t="n">
        <f aca="false">I55*AA55*Z55</f>
        <v>11308.26</v>
      </c>
      <c r="AC55" s="4" t="n">
        <f aca="false">AB55*1.18</f>
        <v>13343.7468</v>
      </c>
    </row>
    <row r="56" customFormat="false" ht="15" hidden="false" customHeight="false" outlineLevel="0" collapsed="false">
      <c r="A56" s="0" t="s">
        <v>41</v>
      </c>
      <c r="B56" s="2" t="n">
        <v>46039</v>
      </c>
      <c r="C56" s="3" t="s">
        <v>372</v>
      </c>
      <c r="D56" s="3" t="s">
        <v>31</v>
      </c>
      <c r="E56" s="3" t="s">
        <v>32</v>
      </c>
      <c r="F56" s="3" t="s">
        <v>51</v>
      </c>
      <c r="G56" s="0" t="n">
        <v>52</v>
      </c>
      <c r="H56" s="0" t="n">
        <v>1370.08</v>
      </c>
      <c r="I56" s="0" t="n">
        <v>1781.16</v>
      </c>
      <c r="J56" s="2" t="n">
        <v>46038</v>
      </c>
      <c r="K56" s="3" t="s">
        <v>373</v>
      </c>
      <c r="L56" s="2" t="n">
        <v>46039</v>
      </c>
      <c r="M56" s="3" t="s">
        <v>374</v>
      </c>
      <c r="N56" s="2" t="n">
        <v>46038</v>
      </c>
      <c r="O56" s="3" t="s">
        <v>375</v>
      </c>
      <c r="P56" s="3" t="s">
        <v>376</v>
      </c>
      <c r="Q56" s="2" t="n">
        <v>46039</v>
      </c>
      <c r="R56" s="3" t="s">
        <v>377</v>
      </c>
      <c r="S56" s="3" t="s">
        <v>70</v>
      </c>
      <c r="T56" s="3" t="s">
        <v>40</v>
      </c>
      <c r="U56" s="3" t="s">
        <v>40</v>
      </c>
      <c r="V56" s="3" t="s">
        <v>40</v>
      </c>
      <c r="W56" s="0" t="n">
        <v>3.9268</v>
      </c>
      <c r="X56" s="0" t="n">
        <v>1.5</v>
      </c>
      <c r="Y56" s="0" t="n">
        <v>2.4268</v>
      </c>
      <c r="Z56" s="0" t="n">
        <v>2</v>
      </c>
      <c r="AA56" s="0" t="n">
        <v>3</v>
      </c>
      <c r="AB56" s="4" t="n">
        <f aca="false">I56*AA56*Z56</f>
        <v>10686.96</v>
      </c>
      <c r="AC56" s="4" t="n">
        <f aca="false">AB56*1.18</f>
        <v>12610.6128</v>
      </c>
    </row>
    <row r="57" customFormat="false" ht="15" hidden="false" customHeight="false" outlineLevel="0" collapsed="false">
      <c r="A57" s="0" t="s">
        <v>29</v>
      </c>
      <c r="B57" s="2" t="n">
        <v>46039</v>
      </c>
      <c r="C57" s="3" t="s">
        <v>378</v>
      </c>
      <c r="D57" s="3" t="s">
        <v>31</v>
      </c>
      <c r="E57" s="3" t="s">
        <v>32</v>
      </c>
      <c r="F57" s="3" t="s">
        <v>33</v>
      </c>
      <c r="G57" s="0" t="n">
        <v>158</v>
      </c>
      <c r="H57" s="0" t="n">
        <v>782.93</v>
      </c>
      <c r="I57" s="0" t="n">
        <v>783.37</v>
      </c>
      <c r="J57" s="2" t="n">
        <v>46036</v>
      </c>
      <c r="K57" s="3" t="s">
        <v>222</v>
      </c>
      <c r="L57" s="2" t="n">
        <v>46036</v>
      </c>
      <c r="M57" s="3" t="s">
        <v>379</v>
      </c>
      <c r="N57" s="2" t="n">
        <v>46037</v>
      </c>
      <c r="O57" s="3" t="s">
        <v>380</v>
      </c>
      <c r="P57" s="3" t="s">
        <v>381</v>
      </c>
      <c r="Q57" s="2" t="n">
        <v>46039</v>
      </c>
      <c r="R57" s="3" t="s">
        <v>382</v>
      </c>
      <c r="S57" s="3" t="s">
        <v>79</v>
      </c>
      <c r="T57" s="3" t="s">
        <v>40</v>
      </c>
      <c r="U57" s="3" t="s">
        <v>40</v>
      </c>
      <c r="V57" s="3" t="s">
        <v>40</v>
      </c>
      <c r="W57" s="0" t="n">
        <v>3.132</v>
      </c>
      <c r="X57" s="0" t="n">
        <v>1.5</v>
      </c>
      <c r="Y57" s="0" t="n">
        <v>1.632</v>
      </c>
      <c r="Z57" s="0" t="n">
        <v>2</v>
      </c>
      <c r="AA57" s="0" t="n">
        <v>3</v>
      </c>
      <c r="AB57" s="4" t="n">
        <f aca="false">I57*AA57*Z57</f>
        <v>4700.22</v>
      </c>
      <c r="AC57" s="4" t="n">
        <f aca="false">AB57*1.18</f>
        <v>5546.2596</v>
      </c>
    </row>
    <row r="58" customFormat="false" ht="15" hidden="false" customHeight="false" outlineLevel="0" collapsed="false">
      <c r="A58" s="0" t="s">
        <v>29</v>
      </c>
      <c r="B58" s="2" t="n">
        <v>46039</v>
      </c>
      <c r="C58" s="3" t="s">
        <v>383</v>
      </c>
      <c r="D58" s="3" t="s">
        <v>31</v>
      </c>
      <c r="E58" s="3" t="s">
        <v>32</v>
      </c>
      <c r="F58" s="3" t="s">
        <v>43</v>
      </c>
      <c r="G58" s="0" t="n">
        <v>150</v>
      </c>
      <c r="H58" s="0" t="n">
        <v>305.91</v>
      </c>
      <c r="I58" s="0" t="n">
        <v>398.03</v>
      </c>
      <c r="J58" s="2" t="n">
        <v>46036</v>
      </c>
      <c r="K58" s="3" t="s">
        <v>384</v>
      </c>
      <c r="L58" s="2" t="n">
        <v>46036</v>
      </c>
      <c r="M58" s="3" t="s">
        <v>385</v>
      </c>
      <c r="N58" s="2" t="n">
        <v>46037</v>
      </c>
      <c r="O58" s="3" t="s">
        <v>204</v>
      </c>
      <c r="P58" s="3" t="s">
        <v>386</v>
      </c>
      <c r="Q58" s="2" t="n">
        <v>46039</v>
      </c>
      <c r="R58" s="3" t="s">
        <v>387</v>
      </c>
      <c r="S58" s="3" t="s">
        <v>189</v>
      </c>
      <c r="T58" s="3" t="s">
        <v>40</v>
      </c>
      <c r="U58" s="3" t="s">
        <v>40</v>
      </c>
      <c r="V58" s="3" t="s">
        <v>40</v>
      </c>
      <c r="W58" s="0" t="n">
        <v>2.4576</v>
      </c>
      <c r="X58" s="0" t="n">
        <v>1.5</v>
      </c>
      <c r="Y58" s="0" t="n">
        <v>0.9576</v>
      </c>
      <c r="Z58" s="0" t="n">
        <v>1</v>
      </c>
      <c r="AA58" s="0" t="n">
        <v>3</v>
      </c>
      <c r="AB58" s="4" t="n">
        <f aca="false">I58*AA58*Z58</f>
        <v>1194.09</v>
      </c>
      <c r="AC58" s="4" t="n">
        <f aca="false">AB58*1.18</f>
        <v>1409.0262</v>
      </c>
    </row>
    <row r="59" customFormat="false" ht="15" hidden="false" customHeight="false" outlineLevel="0" collapsed="false">
      <c r="A59" s="0" t="s">
        <v>29</v>
      </c>
      <c r="B59" s="2" t="n">
        <v>46039</v>
      </c>
      <c r="C59" s="3" t="s">
        <v>388</v>
      </c>
      <c r="D59" s="3" t="s">
        <v>73</v>
      </c>
      <c r="E59" s="3" t="s">
        <v>32</v>
      </c>
      <c r="F59" s="3" t="s">
        <v>43</v>
      </c>
      <c r="G59" s="0" t="n">
        <v>6</v>
      </c>
      <c r="H59" s="0" t="n">
        <v>1856.46</v>
      </c>
      <c r="I59" s="0" t="n">
        <v>1856.93</v>
      </c>
      <c r="J59" s="2" t="n">
        <v>46038</v>
      </c>
      <c r="K59" s="3" t="s">
        <v>389</v>
      </c>
      <c r="L59" s="2" t="n">
        <v>46038</v>
      </c>
      <c r="M59" s="3" t="s">
        <v>240</v>
      </c>
      <c r="N59" s="2" t="n">
        <v>46039</v>
      </c>
      <c r="O59" s="3" t="s">
        <v>390</v>
      </c>
      <c r="P59" s="3" t="s">
        <v>391</v>
      </c>
      <c r="Q59" s="2" t="n">
        <v>46039</v>
      </c>
      <c r="R59" s="3" t="s">
        <v>392</v>
      </c>
      <c r="S59" s="3" t="s">
        <v>182</v>
      </c>
      <c r="T59" s="3" t="s">
        <v>114</v>
      </c>
      <c r="U59" s="3" t="s">
        <v>114</v>
      </c>
      <c r="V59" s="3" t="s">
        <v>114</v>
      </c>
      <c r="W59" s="0" t="n">
        <v>4.935</v>
      </c>
      <c r="X59" s="0" t="n">
        <v>1.5</v>
      </c>
      <c r="Y59" s="0" t="n">
        <v>3.435</v>
      </c>
      <c r="Z59" s="0" t="n">
        <v>3</v>
      </c>
      <c r="AA59" s="0" t="n">
        <v>5</v>
      </c>
      <c r="AB59" s="4" t="n">
        <f aca="false">I59*AA59*Z59</f>
        <v>27853.95</v>
      </c>
      <c r="AC59" s="4" t="n">
        <f aca="false">AB59*1.18</f>
        <v>32867.661</v>
      </c>
    </row>
    <row r="60" customFormat="false" ht="15" hidden="false" customHeight="false" outlineLevel="0" collapsed="false">
      <c r="A60" s="0" t="s">
        <v>41</v>
      </c>
      <c r="B60" s="2" t="n">
        <v>46040</v>
      </c>
      <c r="C60" s="3" t="s">
        <v>393</v>
      </c>
      <c r="D60" s="3" t="s">
        <v>31</v>
      </c>
      <c r="E60" s="3" t="s">
        <v>32</v>
      </c>
      <c r="F60" s="3" t="s">
        <v>51</v>
      </c>
      <c r="G60" s="0" t="n">
        <v>51</v>
      </c>
      <c r="H60" s="0" t="n">
        <v>1264.76</v>
      </c>
      <c r="I60" s="0" t="n">
        <v>1264.89</v>
      </c>
      <c r="J60" s="2" t="n">
        <v>46038</v>
      </c>
      <c r="K60" s="3" t="s">
        <v>394</v>
      </c>
      <c r="L60" s="2" t="n">
        <v>46038</v>
      </c>
      <c r="M60" s="3" t="s">
        <v>395</v>
      </c>
      <c r="N60" s="2" t="n">
        <v>46038</v>
      </c>
      <c r="O60" s="3" t="s">
        <v>396</v>
      </c>
      <c r="P60" s="3" t="s">
        <v>397</v>
      </c>
      <c r="Q60" s="2" t="n">
        <v>46040</v>
      </c>
      <c r="R60" s="3" t="s">
        <v>89</v>
      </c>
      <c r="S60" s="3" t="s">
        <v>157</v>
      </c>
      <c r="T60" s="3" t="s">
        <v>40</v>
      </c>
      <c r="U60" s="3" t="s">
        <v>40</v>
      </c>
      <c r="V60" s="3" t="s">
        <v>40</v>
      </c>
      <c r="W60" s="0" t="n">
        <v>4.4234</v>
      </c>
      <c r="X60" s="0" t="n">
        <v>1.5</v>
      </c>
      <c r="Y60" s="0" t="n">
        <v>2.9234</v>
      </c>
      <c r="Z60" s="0" t="n">
        <v>3</v>
      </c>
      <c r="AA60" s="0" t="n">
        <v>3</v>
      </c>
      <c r="AB60" s="4" t="n">
        <f aca="false">I60*AA60*Z60</f>
        <v>11384.01</v>
      </c>
      <c r="AC60" s="4" t="n">
        <f aca="false">AB60*1.18</f>
        <v>13433.1318</v>
      </c>
    </row>
    <row r="61" customFormat="false" ht="15" hidden="false" customHeight="false" outlineLevel="0" collapsed="false">
      <c r="A61" s="0" t="s">
        <v>29</v>
      </c>
      <c r="B61" s="2" t="n">
        <v>46040</v>
      </c>
      <c r="C61" s="3" t="s">
        <v>398</v>
      </c>
      <c r="D61" s="3" t="s">
        <v>31</v>
      </c>
      <c r="E61" s="3" t="s">
        <v>32</v>
      </c>
      <c r="F61" s="3" t="s">
        <v>51</v>
      </c>
      <c r="G61" s="0" t="n">
        <v>59</v>
      </c>
      <c r="H61" s="0" t="n">
        <v>2481.56</v>
      </c>
      <c r="I61" s="0" t="n">
        <v>2481.8</v>
      </c>
      <c r="J61" s="2" t="n">
        <v>46039</v>
      </c>
      <c r="K61" s="3" t="s">
        <v>357</v>
      </c>
      <c r="L61" s="2" t="n">
        <v>46039</v>
      </c>
      <c r="M61" s="3" t="s">
        <v>399</v>
      </c>
      <c r="N61" s="2" t="n">
        <v>46039</v>
      </c>
      <c r="O61" s="3" t="s">
        <v>400</v>
      </c>
      <c r="P61" s="3" t="s">
        <v>401</v>
      </c>
      <c r="Q61" s="2" t="n">
        <v>46040</v>
      </c>
      <c r="R61" s="3" t="s">
        <v>402</v>
      </c>
      <c r="S61" s="3" t="s">
        <v>255</v>
      </c>
      <c r="T61" s="3" t="s">
        <v>40</v>
      </c>
      <c r="U61" s="3" t="s">
        <v>40</v>
      </c>
      <c r="V61" s="3" t="s">
        <v>40</v>
      </c>
      <c r="W61" s="0" t="n">
        <v>2.6613</v>
      </c>
      <c r="X61" s="0" t="n">
        <v>1.5</v>
      </c>
      <c r="Y61" s="0" t="n">
        <v>1.1613</v>
      </c>
      <c r="Z61" s="0" t="n">
        <v>1</v>
      </c>
      <c r="AA61" s="0" t="n">
        <v>3</v>
      </c>
      <c r="AB61" s="4" t="n">
        <f aca="false">I61*AA61*Z61</f>
        <v>7445.4</v>
      </c>
      <c r="AC61" s="4" t="n">
        <f aca="false">AB61*1.18</f>
        <v>8785.572</v>
      </c>
    </row>
    <row r="62" customFormat="false" ht="15" hidden="false" customHeight="false" outlineLevel="0" collapsed="false">
      <c r="A62" s="0" t="s">
        <v>41</v>
      </c>
      <c r="B62" s="2" t="n">
        <v>46041</v>
      </c>
      <c r="C62" s="3" t="s">
        <v>403</v>
      </c>
      <c r="D62" s="3" t="s">
        <v>31</v>
      </c>
      <c r="E62" s="3" t="s">
        <v>32</v>
      </c>
      <c r="F62" s="3" t="s">
        <v>33</v>
      </c>
      <c r="G62" s="0" t="n">
        <v>62</v>
      </c>
      <c r="H62" s="0" t="n">
        <v>2852.93</v>
      </c>
      <c r="I62" s="0" t="n">
        <v>2852.94</v>
      </c>
      <c r="J62" s="2" t="n">
        <v>46040</v>
      </c>
      <c r="K62" s="3" t="s">
        <v>404</v>
      </c>
      <c r="L62" s="2" t="n">
        <v>46040</v>
      </c>
      <c r="M62" s="3" t="s">
        <v>63</v>
      </c>
      <c r="N62" s="2" t="n">
        <v>46041</v>
      </c>
      <c r="O62" s="3" t="s">
        <v>405</v>
      </c>
      <c r="P62" s="3" t="s">
        <v>406</v>
      </c>
      <c r="Q62" s="2" t="n">
        <v>46041</v>
      </c>
      <c r="R62" s="3" t="s">
        <v>407</v>
      </c>
      <c r="S62" s="3" t="s">
        <v>232</v>
      </c>
      <c r="T62" s="3" t="s">
        <v>40</v>
      </c>
      <c r="U62" s="3" t="s">
        <v>40</v>
      </c>
      <c r="V62" s="3" t="s">
        <v>40</v>
      </c>
      <c r="W62" s="0" t="n">
        <v>4.9785</v>
      </c>
      <c r="X62" s="0" t="n">
        <v>1.5</v>
      </c>
      <c r="Y62" s="0" t="n">
        <v>3.4785</v>
      </c>
      <c r="Z62" s="0" t="n">
        <v>3</v>
      </c>
      <c r="AA62" s="0" t="n">
        <v>3</v>
      </c>
      <c r="AB62" s="4" t="n">
        <f aca="false">I62*AA62*Z62</f>
        <v>25676.46</v>
      </c>
      <c r="AC62" s="4" t="n">
        <f aca="false">AB62*1.18</f>
        <v>30298.2228</v>
      </c>
    </row>
    <row r="63" customFormat="false" ht="15" hidden="false" customHeight="false" outlineLevel="0" collapsed="false">
      <c r="A63" s="0" t="s">
        <v>41</v>
      </c>
      <c r="B63" s="2" t="n">
        <v>46041</v>
      </c>
      <c r="C63" s="3" t="s">
        <v>408</v>
      </c>
      <c r="D63" s="3" t="s">
        <v>31</v>
      </c>
      <c r="E63" s="3" t="s">
        <v>32</v>
      </c>
      <c r="F63" s="3" t="s">
        <v>51</v>
      </c>
      <c r="G63" s="0" t="n">
        <v>189</v>
      </c>
      <c r="H63" s="0" t="n">
        <v>3183.36</v>
      </c>
      <c r="I63" s="0" t="n">
        <v>4138.4</v>
      </c>
      <c r="J63" s="2" t="n">
        <v>46040</v>
      </c>
      <c r="K63" s="3" t="s">
        <v>409</v>
      </c>
      <c r="L63" s="2" t="n">
        <v>46040</v>
      </c>
      <c r="M63" s="3" t="s">
        <v>410</v>
      </c>
      <c r="N63" s="2" t="n">
        <v>46041</v>
      </c>
      <c r="O63" s="3" t="s">
        <v>411</v>
      </c>
      <c r="P63" s="3" t="s">
        <v>412</v>
      </c>
      <c r="Q63" s="2" t="n">
        <v>46041</v>
      </c>
      <c r="R63" s="3" t="s">
        <v>56</v>
      </c>
      <c r="S63" s="3" t="s">
        <v>232</v>
      </c>
      <c r="T63" s="3" t="s">
        <v>40</v>
      </c>
      <c r="U63" s="3" t="s">
        <v>40</v>
      </c>
      <c r="V63" s="3" t="s">
        <v>40</v>
      </c>
      <c r="W63" s="0" t="n">
        <v>1.0738</v>
      </c>
      <c r="X63" s="0" t="n">
        <v>1.5</v>
      </c>
      <c r="Y63" s="0" t="n">
        <v>-0.4262</v>
      </c>
      <c r="Z63" s="0" t="n">
        <v>-1</v>
      </c>
      <c r="AA63" s="0" t="n">
        <v>3</v>
      </c>
      <c r="AB63" s="4" t="n">
        <f aca="false">I63*AA63*Z63</f>
        <v>-12415.2</v>
      </c>
      <c r="AC63" s="4" t="n">
        <f aca="false">AB63*1.18</f>
        <v>-14649.936</v>
      </c>
    </row>
    <row r="64" customFormat="false" ht="15" hidden="false" customHeight="false" outlineLevel="0" collapsed="false">
      <c r="A64" s="0" t="s">
        <v>29</v>
      </c>
      <c r="B64" s="2" t="n">
        <v>46041</v>
      </c>
      <c r="C64" s="3" t="s">
        <v>413</v>
      </c>
      <c r="D64" s="3" t="s">
        <v>73</v>
      </c>
      <c r="E64" s="3" t="s">
        <v>32</v>
      </c>
      <c r="F64" s="3" t="s">
        <v>33</v>
      </c>
      <c r="G64" s="0" t="n">
        <v>138</v>
      </c>
      <c r="H64" s="0" t="n">
        <v>2558.61</v>
      </c>
      <c r="I64" s="0" t="n">
        <v>3326.39</v>
      </c>
      <c r="J64" s="2" t="n">
        <v>46038</v>
      </c>
      <c r="K64" s="3" t="s">
        <v>414</v>
      </c>
      <c r="L64" s="2" t="n">
        <v>46038</v>
      </c>
      <c r="M64" s="3" t="s">
        <v>415</v>
      </c>
      <c r="N64" s="2" t="n">
        <v>46038</v>
      </c>
      <c r="O64" s="3" t="s">
        <v>416</v>
      </c>
      <c r="P64" s="3" t="s">
        <v>417</v>
      </c>
      <c r="Q64" s="2" t="n">
        <v>46041</v>
      </c>
      <c r="R64" s="3" t="s">
        <v>276</v>
      </c>
      <c r="S64" s="3" t="s">
        <v>195</v>
      </c>
      <c r="T64" s="3" t="s">
        <v>95</v>
      </c>
      <c r="U64" s="3" t="s">
        <v>95</v>
      </c>
      <c r="V64" s="3" t="s">
        <v>95</v>
      </c>
      <c r="W64" s="0" t="n">
        <v>4.411</v>
      </c>
      <c r="X64" s="0" t="n">
        <v>1.5</v>
      </c>
      <c r="Y64" s="0" t="n">
        <v>2.911</v>
      </c>
      <c r="Z64" s="0" t="n">
        <v>3</v>
      </c>
      <c r="AA64" s="0" t="n">
        <v>3</v>
      </c>
      <c r="AB64" s="4" t="n">
        <f aca="false">I64*AA64*Z64</f>
        <v>29937.51</v>
      </c>
      <c r="AC64" s="4" t="n">
        <f aca="false">AB64*1.18</f>
        <v>35326.2618</v>
      </c>
    </row>
    <row r="65" customFormat="false" ht="15" hidden="false" customHeight="false" outlineLevel="0" collapsed="false">
      <c r="A65" s="0" t="s">
        <v>41</v>
      </c>
      <c r="B65" s="2" t="n">
        <v>46042</v>
      </c>
      <c r="C65" s="3" t="s">
        <v>418</v>
      </c>
      <c r="D65" s="3" t="s">
        <v>31</v>
      </c>
      <c r="E65" s="3" t="s">
        <v>32</v>
      </c>
      <c r="F65" s="3" t="s">
        <v>43</v>
      </c>
      <c r="G65" s="0" t="n">
        <v>3</v>
      </c>
      <c r="H65" s="0" t="n">
        <v>525.3</v>
      </c>
      <c r="I65" s="0" t="n">
        <v>788.32</v>
      </c>
      <c r="J65" s="2" t="n">
        <v>46039</v>
      </c>
      <c r="K65" s="3" t="s">
        <v>419</v>
      </c>
      <c r="L65" s="2" t="n">
        <v>46040</v>
      </c>
      <c r="M65" s="3" t="s">
        <v>420</v>
      </c>
      <c r="N65" s="2" t="n">
        <v>46040</v>
      </c>
      <c r="O65" s="3" t="s">
        <v>421</v>
      </c>
      <c r="P65" s="3" t="s">
        <v>422</v>
      </c>
      <c r="Q65" s="2" t="n">
        <v>46042</v>
      </c>
      <c r="R65" s="3" t="s">
        <v>423</v>
      </c>
      <c r="S65" s="3" t="s">
        <v>255</v>
      </c>
      <c r="T65" s="3" t="s">
        <v>40</v>
      </c>
      <c r="U65" s="3" t="s">
        <v>40</v>
      </c>
      <c r="V65" s="3" t="s">
        <v>40</v>
      </c>
      <c r="W65" s="0" t="n">
        <v>1.2584</v>
      </c>
      <c r="X65" s="0" t="n">
        <v>1.5</v>
      </c>
      <c r="Y65" s="0" t="n">
        <v>-0.2416</v>
      </c>
      <c r="Z65" s="0" t="n">
        <v>-1</v>
      </c>
      <c r="AA65" s="0" t="n">
        <v>3</v>
      </c>
      <c r="AB65" s="4" t="n">
        <f aca="false">I65*AA65*Z65</f>
        <v>-2364.96</v>
      </c>
      <c r="AC65" s="4" t="n">
        <f aca="false">AB65*1.18</f>
        <v>-2790.6528</v>
      </c>
    </row>
    <row r="66" customFormat="false" ht="15" hidden="false" customHeight="false" outlineLevel="0" collapsed="false">
      <c r="A66" s="0" t="s">
        <v>41</v>
      </c>
      <c r="B66" s="2" t="n">
        <v>46042</v>
      </c>
      <c r="C66" s="3" t="s">
        <v>424</v>
      </c>
      <c r="D66" s="3" t="s">
        <v>31</v>
      </c>
      <c r="E66" s="3" t="s">
        <v>32</v>
      </c>
      <c r="F66" s="3" t="s">
        <v>51</v>
      </c>
      <c r="G66" s="0" t="n">
        <v>55</v>
      </c>
      <c r="H66" s="0" t="n">
        <v>2464.18</v>
      </c>
      <c r="I66" s="0" t="n">
        <v>2464.63</v>
      </c>
      <c r="J66" s="2" t="n">
        <v>46039</v>
      </c>
      <c r="K66" s="3" t="s">
        <v>425</v>
      </c>
      <c r="L66" s="2" t="n">
        <v>46040</v>
      </c>
      <c r="M66" s="3" t="s">
        <v>426</v>
      </c>
      <c r="N66" s="2" t="n">
        <v>46040</v>
      </c>
      <c r="O66" s="3" t="s">
        <v>123</v>
      </c>
      <c r="P66" s="3" t="s">
        <v>427</v>
      </c>
      <c r="Q66" s="2" t="n">
        <v>46042</v>
      </c>
      <c r="R66" s="3" t="s">
        <v>428</v>
      </c>
      <c r="S66" s="3" t="s">
        <v>79</v>
      </c>
      <c r="T66" s="3" t="s">
        <v>274</v>
      </c>
      <c r="U66" s="3" t="s">
        <v>274</v>
      </c>
      <c r="V66" s="3" t="s">
        <v>274</v>
      </c>
      <c r="W66" s="0" t="n">
        <v>2.6401</v>
      </c>
      <c r="X66" s="0" t="n">
        <v>1.5</v>
      </c>
      <c r="Y66" s="0" t="n">
        <v>1.1401</v>
      </c>
      <c r="Z66" s="0" t="n">
        <v>1</v>
      </c>
      <c r="AA66" s="0" t="n">
        <v>5</v>
      </c>
      <c r="AB66" s="4" t="n">
        <f aca="false">I66*AA66*Z66</f>
        <v>12323.15</v>
      </c>
      <c r="AC66" s="4" t="n">
        <f aca="false">AB66*1.18</f>
        <v>14541.317</v>
      </c>
    </row>
    <row r="67" customFormat="false" ht="15" hidden="false" customHeight="false" outlineLevel="0" collapsed="false">
      <c r="A67" s="0" t="s">
        <v>41</v>
      </c>
      <c r="B67" s="2" t="n">
        <v>46042</v>
      </c>
      <c r="C67" s="3" t="s">
        <v>429</v>
      </c>
      <c r="D67" s="3" t="s">
        <v>73</v>
      </c>
      <c r="E67" s="3" t="s">
        <v>32</v>
      </c>
      <c r="F67" s="3" t="s">
        <v>51</v>
      </c>
      <c r="G67" s="0" t="n">
        <v>127</v>
      </c>
      <c r="H67" s="0" t="n">
        <v>1160.75</v>
      </c>
      <c r="I67" s="0" t="n">
        <v>1160.97</v>
      </c>
      <c r="J67" s="2" t="n">
        <v>46039</v>
      </c>
      <c r="K67" s="3" t="s">
        <v>430</v>
      </c>
      <c r="L67" s="2" t="n">
        <v>46039</v>
      </c>
      <c r="M67" s="3" t="s">
        <v>380</v>
      </c>
      <c r="N67" s="2" t="n">
        <v>46040</v>
      </c>
      <c r="O67" s="3" t="s">
        <v>431</v>
      </c>
      <c r="P67" s="3" t="s">
        <v>432</v>
      </c>
      <c r="Q67" s="2" t="n">
        <v>46042</v>
      </c>
      <c r="R67" s="3" t="s">
        <v>433</v>
      </c>
      <c r="S67" s="3" t="s">
        <v>121</v>
      </c>
      <c r="T67" s="3" t="s">
        <v>274</v>
      </c>
      <c r="U67" s="3" t="s">
        <v>274</v>
      </c>
      <c r="V67" s="3" t="s">
        <v>274</v>
      </c>
      <c r="W67" s="0" t="n">
        <v>2.942</v>
      </c>
      <c r="X67" s="0" t="n">
        <v>1.5</v>
      </c>
      <c r="Y67" s="0" t="n">
        <v>1.442</v>
      </c>
      <c r="Z67" s="0" t="n">
        <v>1</v>
      </c>
      <c r="AA67" s="0" t="n">
        <v>5</v>
      </c>
      <c r="AB67" s="4" t="n">
        <f aca="false">I67*AA67*Z67</f>
        <v>5804.85</v>
      </c>
      <c r="AC67" s="4" t="n">
        <f aca="false">AB67*1.18</f>
        <v>6849.723</v>
      </c>
    </row>
    <row r="68" customFormat="false" ht="15" hidden="false" customHeight="false" outlineLevel="0" collapsed="false">
      <c r="A68" s="0" t="s">
        <v>41</v>
      </c>
      <c r="B68" s="2" t="n">
        <v>46042</v>
      </c>
      <c r="C68" s="3" t="s">
        <v>434</v>
      </c>
      <c r="D68" s="3" t="s">
        <v>31</v>
      </c>
      <c r="E68" s="3" t="s">
        <v>32</v>
      </c>
      <c r="F68" s="3" t="s">
        <v>51</v>
      </c>
      <c r="G68" s="0" t="n">
        <v>41</v>
      </c>
      <c r="H68" s="0" t="n">
        <v>2907.43</v>
      </c>
      <c r="I68" s="0" t="n">
        <v>3198.2</v>
      </c>
      <c r="J68" s="2" t="n">
        <v>46040</v>
      </c>
      <c r="K68" s="3" t="s">
        <v>53</v>
      </c>
      <c r="L68" s="2" t="n">
        <v>46040</v>
      </c>
      <c r="M68" s="3" t="s">
        <v>435</v>
      </c>
      <c r="N68" s="2" t="n">
        <v>46040</v>
      </c>
      <c r="O68" s="3" t="s">
        <v>436</v>
      </c>
      <c r="P68" s="3" t="s">
        <v>437</v>
      </c>
      <c r="Q68" s="2" t="n">
        <v>46042</v>
      </c>
      <c r="R68" s="3" t="s">
        <v>120</v>
      </c>
      <c r="S68" s="3" t="s">
        <v>49</v>
      </c>
      <c r="T68" s="3" t="s">
        <v>40</v>
      </c>
      <c r="U68" s="3" t="s">
        <v>40</v>
      </c>
      <c r="V68" s="3" t="s">
        <v>40</v>
      </c>
      <c r="W68" s="0" t="n">
        <v>0.2633</v>
      </c>
      <c r="X68" s="0" t="n">
        <v>1.5</v>
      </c>
      <c r="Y68" s="0" t="n">
        <v>-1.2367</v>
      </c>
      <c r="Z68" s="0" t="n">
        <v>-1</v>
      </c>
      <c r="AA68" s="0" t="n">
        <v>3</v>
      </c>
      <c r="AB68" s="4" t="n">
        <f aca="false">I68*AA68*Z68</f>
        <v>-9594.6</v>
      </c>
      <c r="AC68" s="4" t="n">
        <f aca="false">AB68*1.18</f>
        <v>-11321.628</v>
      </c>
    </row>
    <row r="69" customFormat="false" ht="15" hidden="false" customHeight="false" outlineLevel="0" collapsed="false">
      <c r="A69" s="0" t="s">
        <v>41</v>
      </c>
      <c r="B69" s="2" t="n">
        <v>46043</v>
      </c>
      <c r="C69" s="3" t="s">
        <v>438</v>
      </c>
      <c r="D69" s="3" t="s">
        <v>73</v>
      </c>
      <c r="E69" s="3" t="s">
        <v>32</v>
      </c>
      <c r="F69" s="3" t="s">
        <v>33</v>
      </c>
      <c r="G69" s="0" t="n">
        <v>86</v>
      </c>
      <c r="H69" s="0" t="n">
        <v>306.77</v>
      </c>
      <c r="I69" s="0" t="n">
        <v>460.21</v>
      </c>
      <c r="J69" s="2" t="n">
        <v>46042</v>
      </c>
      <c r="K69" s="3" t="s">
        <v>439</v>
      </c>
      <c r="L69" s="2" t="n">
        <v>46043</v>
      </c>
      <c r="M69" s="3" t="s">
        <v>440</v>
      </c>
      <c r="N69" s="2" t="n">
        <v>46043</v>
      </c>
      <c r="O69" s="3" t="s">
        <v>441</v>
      </c>
      <c r="P69" s="3" t="s">
        <v>442</v>
      </c>
      <c r="Q69" s="2" t="n">
        <v>46043</v>
      </c>
      <c r="R69" s="3" t="s">
        <v>443</v>
      </c>
      <c r="S69" s="3" t="s">
        <v>87</v>
      </c>
      <c r="T69" s="3" t="s">
        <v>71</v>
      </c>
      <c r="U69" s="3" t="s">
        <v>71</v>
      </c>
      <c r="V69" s="3" t="s">
        <v>71</v>
      </c>
      <c r="W69" s="0" t="n">
        <v>3.2948</v>
      </c>
      <c r="X69" s="0" t="n">
        <v>1.5</v>
      </c>
      <c r="Y69" s="0" t="n">
        <v>1.7948</v>
      </c>
      <c r="Z69" s="0" t="n">
        <v>2</v>
      </c>
      <c r="AA69" s="0" t="n">
        <v>12</v>
      </c>
      <c r="AB69" s="4" t="n">
        <f aca="false">I69*AA69*Z69</f>
        <v>11045.04</v>
      </c>
      <c r="AC69" s="4" t="n">
        <f aca="false">AB69*1.18</f>
        <v>13033.1472</v>
      </c>
    </row>
    <row r="70" customFormat="false" ht="15" hidden="false" customHeight="false" outlineLevel="0" collapsed="false">
      <c r="A70" s="0" t="s">
        <v>41</v>
      </c>
      <c r="B70" s="2" t="n">
        <v>46043</v>
      </c>
      <c r="C70" s="3" t="s">
        <v>444</v>
      </c>
      <c r="D70" s="3" t="s">
        <v>73</v>
      </c>
      <c r="E70" s="3" t="s">
        <v>32</v>
      </c>
      <c r="F70" s="3" t="s">
        <v>33</v>
      </c>
      <c r="G70" s="0" t="n">
        <v>133</v>
      </c>
      <c r="H70" s="0" t="n">
        <v>1794.7</v>
      </c>
      <c r="I70" s="0" t="n">
        <v>1974.45</v>
      </c>
      <c r="J70" s="2" t="n">
        <v>46042</v>
      </c>
      <c r="K70" s="3" t="s">
        <v>445</v>
      </c>
      <c r="L70" s="2" t="n">
        <v>46042</v>
      </c>
      <c r="M70" s="3" t="s">
        <v>446</v>
      </c>
      <c r="N70" s="2" t="n">
        <v>46043</v>
      </c>
      <c r="O70" s="3" t="s">
        <v>447</v>
      </c>
      <c r="P70" s="3" t="s">
        <v>448</v>
      </c>
      <c r="Q70" s="2" t="n">
        <v>46043</v>
      </c>
      <c r="R70" s="3" t="s">
        <v>449</v>
      </c>
      <c r="S70" s="3" t="s">
        <v>121</v>
      </c>
      <c r="T70" s="3" t="s">
        <v>40</v>
      </c>
      <c r="U70" s="3" t="s">
        <v>40</v>
      </c>
      <c r="V70" s="3" t="s">
        <v>40</v>
      </c>
      <c r="W70" s="0" t="n">
        <v>5.1375</v>
      </c>
      <c r="X70" s="0" t="n">
        <v>1.5</v>
      </c>
      <c r="Y70" s="0" t="n">
        <v>3.6375</v>
      </c>
      <c r="Z70" s="0" t="n">
        <v>4</v>
      </c>
      <c r="AA70" s="0" t="n">
        <v>3</v>
      </c>
      <c r="AB70" s="4" t="n">
        <f aca="false">I70*AA70*Z70</f>
        <v>23693.4</v>
      </c>
      <c r="AC70" s="4" t="n">
        <f aca="false">AB70*1.18</f>
        <v>27958.212</v>
      </c>
    </row>
    <row r="71" customFormat="false" ht="15" hidden="false" customHeight="false" outlineLevel="0" collapsed="false">
      <c r="A71" s="0" t="s">
        <v>41</v>
      </c>
      <c r="B71" s="2" t="n">
        <v>46043</v>
      </c>
      <c r="C71" s="3" t="s">
        <v>450</v>
      </c>
      <c r="D71" s="3" t="s">
        <v>31</v>
      </c>
      <c r="E71" s="3" t="s">
        <v>32</v>
      </c>
      <c r="F71" s="3" t="s">
        <v>33</v>
      </c>
      <c r="G71" s="0" t="n">
        <v>9</v>
      </c>
      <c r="H71" s="0" t="n">
        <v>1713.6</v>
      </c>
      <c r="I71" s="0" t="n">
        <v>1885.21</v>
      </c>
      <c r="J71" s="2" t="n">
        <v>46042</v>
      </c>
      <c r="K71" s="3" t="s">
        <v>451</v>
      </c>
      <c r="L71" s="2" t="n">
        <v>46042</v>
      </c>
      <c r="M71" s="3" t="s">
        <v>283</v>
      </c>
      <c r="N71" s="2" t="n">
        <v>46043</v>
      </c>
      <c r="O71" s="3" t="s">
        <v>452</v>
      </c>
      <c r="P71" s="3" t="s">
        <v>453</v>
      </c>
      <c r="Q71" s="2" t="n">
        <v>46043</v>
      </c>
      <c r="R71" s="3" t="s">
        <v>316</v>
      </c>
      <c r="S71" s="3" t="s">
        <v>157</v>
      </c>
      <c r="T71" s="3" t="s">
        <v>40</v>
      </c>
      <c r="U71" s="3" t="s">
        <v>40</v>
      </c>
      <c r="V71" s="3" t="s">
        <v>40</v>
      </c>
      <c r="W71" s="0" t="n">
        <v>3.5656</v>
      </c>
      <c r="X71" s="0" t="n">
        <v>1.5</v>
      </c>
      <c r="Y71" s="0" t="n">
        <v>2.0656</v>
      </c>
      <c r="Z71" s="0" t="n">
        <v>2</v>
      </c>
      <c r="AA71" s="0" t="n">
        <v>3</v>
      </c>
      <c r="AB71" s="4" t="n">
        <f aca="false">I71*AA71*Z71</f>
        <v>11311.26</v>
      </c>
      <c r="AC71" s="4" t="n">
        <f aca="false">AB71*1.18</f>
        <v>13347.2868</v>
      </c>
    </row>
    <row r="72" customFormat="false" ht="15" hidden="false" customHeight="false" outlineLevel="0" collapsed="false">
      <c r="A72" s="0" t="s">
        <v>29</v>
      </c>
      <c r="B72" s="2" t="n">
        <v>46043</v>
      </c>
      <c r="C72" s="3" t="s">
        <v>454</v>
      </c>
      <c r="D72" s="3" t="s">
        <v>73</v>
      </c>
      <c r="E72" s="3" t="s">
        <v>32</v>
      </c>
      <c r="F72" s="3" t="s">
        <v>43</v>
      </c>
      <c r="G72" s="0" t="n">
        <v>115</v>
      </c>
      <c r="H72" s="0" t="n">
        <v>363.57</v>
      </c>
      <c r="I72" s="0" t="n">
        <v>545.6</v>
      </c>
      <c r="J72" s="2" t="n">
        <v>46040</v>
      </c>
      <c r="K72" s="3" t="s">
        <v>455</v>
      </c>
      <c r="L72" s="2" t="n">
        <v>46040</v>
      </c>
      <c r="M72" s="3" t="s">
        <v>456</v>
      </c>
      <c r="N72" s="2" t="n">
        <v>46041</v>
      </c>
      <c r="O72" s="3" t="s">
        <v>457</v>
      </c>
      <c r="P72" s="3" t="s">
        <v>458</v>
      </c>
      <c r="Q72" s="2" t="n">
        <v>46043</v>
      </c>
      <c r="R72" s="3" t="s">
        <v>459</v>
      </c>
      <c r="S72" s="3" t="s">
        <v>70</v>
      </c>
      <c r="T72" s="3" t="s">
        <v>95</v>
      </c>
      <c r="U72" s="3" t="s">
        <v>95</v>
      </c>
      <c r="V72" s="3" t="s">
        <v>95</v>
      </c>
      <c r="W72" s="0" t="n">
        <v>0.3472</v>
      </c>
      <c r="X72" s="0" t="n">
        <v>1.5</v>
      </c>
      <c r="Y72" s="0" t="n">
        <v>-1.1528</v>
      </c>
      <c r="Z72" s="0" t="n">
        <v>-1</v>
      </c>
      <c r="AA72" s="0" t="n">
        <v>3</v>
      </c>
      <c r="AB72" s="4" t="n">
        <f aca="false">I72*AA72*Z72</f>
        <v>-1636.8</v>
      </c>
      <c r="AC72" s="4" t="n">
        <f aca="false">AB72*1.18</f>
        <v>-1931.424</v>
      </c>
    </row>
    <row r="73" customFormat="false" ht="15" hidden="false" customHeight="false" outlineLevel="0" collapsed="false">
      <c r="A73" s="0" t="s">
        <v>29</v>
      </c>
      <c r="B73" s="2" t="n">
        <v>46043</v>
      </c>
      <c r="C73" s="3" t="s">
        <v>460</v>
      </c>
      <c r="D73" s="3" t="s">
        <v>31</v>
      </c>
      <c r="E73" s="3" t="s">
        <v>32</v>
      </c>
      <c r="F73" s="3" t="s">
        <v>33</v>
      </c>
      <c r="G73" s="0" t="n">
        <v>172</v>
      </c>
      <c r="H73" s="0" t="n">
        <v>1719.2</v>
      </c>
      <c r="I73" s="0" t="n">
        <v>2235.08</v>
      </c>
      <c r="J73" s="2" t="n">
        <v>46041</v>
      </c>
      <c r="K73" s="3" t="s">
        <v>461</v>
      </c>
      <c r="L73" s="2" t="n">
        <v>46041</v>
      </c>
      <c r="M73" s="3" t="s">
        <v>462</v>
      </c>
      <c r="N73" s="2" t="n">
        <v>46041</v>
      </c>
      <c r="O73" s="3" t="s">
        <v>335</v>
      </c>
      <c r="P73" s="3" t="s">
        <v>463</v>
      </c>
      <c r="Q73" s="2" t="n">
        <v>46043</v>
      </c>
      <c r="R73" s="3" t="s">
        <v>387</v>
      </c>
      <c r="S73" s="3" t="s">
        <v>338</v>
      </c>
      <c r="T73" s="3" t="s">
        <v>40</v>
      </c>
      <c r="U73" s="3" t="s">
        <v>40</v>
      </c>
      <c r="V73" s="3" t="s">
        <v>40</v>
      </c>
      <c r="W73" s="0" t="n">
        <v>2.7854</v>
      </c>
      <c r="X73" s="0" t="n">
        <v>1.5</v>
      </c>
      <c r="Y73" s="0" t="n">
        <v>1.2854</v>
      </c>
      <c r="Z73" s="0" t="n">
        <v>1</v>
      </c>
      <c r="AA73" s="0" t="n">
        <v>3</v>
      </c>
      <c r="AB73" s="4" t="n">
        <f aca="false">I73*AA73*Z73</f>
        <v>6705.24</v>
      </c>
      <c r="AC73" s="4" t="n">
        <f aca="false">AB73*1.18</f>
        <v>7912.1832</v>
      </c>
    </row>
    <row r="74" customFormat="false" ht="15" hidden="false" customHeight="false" outlineLevel="0" collapsed="false">
      <c r="A74" s="0" t="s">
        <v>29</v>
      </c>
      <c r="B74" s="2" t="n">
        <v>46043</v>
      </c>
      <c r="C74" s="3" t="s">
        <v>464</v>
      </c>
      <c r="D74" s="3" t="s">
        <v>31</v>
      </c>
      <c r="E74" s="3" t="s">
        <v>32</v>
      </c>
      <c r="F74" s="3" t="s">
        <v>43</v>
      </c>
      <c r="G74" s="0" t="n">
        <v>42</v>
      </c>
      <c r="H74" s="0" t="n">
        <v>159.54</v>
      </c>
      <c r="I74" s="0" t="n">
        <v>159.63</v>
      </c>
      <c r="J74" s="2" t="n">
        <v>46040</v>
      </c>
      <c r="K74" s="3" t="s">
        <v>465</v>
      </c>
      <c r="L74" s="2" t="n">
        <v>46040</v>
      </c>
      <c r="M74" s="3" t="s">
        <v>466</v>
      </c>
      <c r="N74" s="2" t="n">
        <v>46041</v>
      </c>
      <c r="O74" s="3" t="s">
        <v>467</v>
      </c>
      <c r="P74" s="3" t="s">
        <v>468</v>
      </c>
      <c r="Q74" s="2" t="n">
        <v>46043</v>
      </c>
      <c r="R74" s="3" t="s">
        <v>469</v>
      </c>
      <c r="S74" s="3" t="s">
        <v>225</v>
      </c>
      <c r="T74" s="3" t="s">
        <v>40</v>
      </c>
      <c r="U74" s="3" t="s">
        <v>40</v>
      </c>
      <c r="V74" s="3" t="s">
        <v>40</v>
      </c>
      <c r="W74" s="0" t="n">
        <v>1.0746</v>
      </c>
      <c r="X74" s="0" t="n">
        <v>1.5</v>
      </c>
      <c r="Y74" s="0" t="n">
        <v>-0.4254</v>
      </c>
      <c r="Z74" s="0" t="n">
        <v>-1</v>
      </c>
      <c r="AA74" s="0" t="n">
        <v>3</v>
      </c>
      <c r="AB74" s="4" t="n">
        <f aca="false">I74*AA74*Z74</f>
        <v>-478.89</v>
      </c>
      <c r="AC74" s="4" t="n">
        <f aca="false">AB74*1.18</f>
        <v>-565.0902</v>
      </c>
    </row>
    <row r="75" customFormat="false" ht="15" hidden="false" customHeight="false" outlineLevel="0" collapsed="false">
      <c r="A75" s="0" t="s">
        <v>29</v>
      </c>
      <c r="B75" s="2" t="n">
        <v>46043</v>
      </c>
      <c r="C75" s="3" t="s">
        <v>470</v>
      </c>
      <c r="D75" s="3" t="s">
        <v>31</v>
      </c>
      <c r="E75" s="3" t="s">
        <v>32</v>
      </c>
      <c r="F75" s="3" t="s">
        <v>51</v>
      </c>
      <c r="G75" s="0" t="n">
        <v>15</v>
      </c>
      <c r="H75" s="0" t="n">
        <v>895.55</v>
      </c>
      <c r="I75" s="0" t="n">
        <v>1164.32</v>
      </c>
      <c r="J75" s="2" t="n">
        <v>46042</v>
      </c>
      <c r="K75" s="3" t="s">
        <v>471</v>
      </c>
      <c r="L75" s="2" t="n">
        <v>46042</v>
      </c>
      <c r="M75" s="3" t="s">
        <v>472</v>
      </c>
      <c r="N75" s="2" t="n">
        <v>46043</v>
      </c>
      <c r="O75" s="3" t="s">
        <v>473</v>
      </c>
      <c r="P75" s="3" t="s">
        <v>474</v>
      </c>
      <c r="Q75" s="2" t="n">
        <v>46043</v>
      </c>
      <c r="R75" s="3" t="s">
        <v>475</v>
      </c>
      <c r="S75" s="3" t="s">
        <v>94</v>
      </c>
      <c r="T75" s="3" t="s">
        <v>40</v>
      </c>
      <c r="U75" s="3" t="s">
        <v>40</v>
      </c>
      <c r="V75" s="3" t="s">
        <v>40</v>
      </c>
      <c r="W75" s="0" t="n">
        <v>1.7451</v>
      </c>
      <c r="X75" s="0" t="n">
        <v>1.5</v>
      </c>
      <c r="Y75" s="0" t="n">
        <v>0.2451</v>
      </c>
      <c r="Z75" s="0" t="n">
        <v>1</v>
      </c>
      <c r="AA75" s="0" t="n">
        <v>3</v>
      </c>
      <c r="AB75" s="4" t="n">
        <f aca="false">I75*AA75*Z75</f>
        <v>3492.96</v>
      </c>
      <c r="AC75" s="4" t="n">
        <f aca="false">AB75*1.18</f>
        <v>4121.6928</v>
      </c>
    </row>
    <row r="76" customFormat="false" ht="15" hidden="false" customHeight="false" outlineLevel="0" collapsed="false">
      <c r="A76" s="0" t="s">
        <v>41</v>
      </c>
      <c r="B76" s="2" t="n">
        <v>46044</v>
      </c>
      <c r="C76" s="3" t="s">
        <v>476</v>
      </c>
      <c r="D76" s="3" t="s">
        <v>73</v>
      </c>
      <c r="E76" s="3" t="s">
        <v>32</v>
      </c>
      <c r="F76" s="3" t="s">
        <v>33</v>
      </c>
      <c r="G76" s="0" t="n">
        <v>210</v>
      </c>
      <c r="H76" s="0" t="n">
        <v>1044.8</v>
      </c>
      <c r="I76" s="0" t="n">
        <v>1044.84</v>
      </c>
      <c r="J76" s="2" t="n">
        <v>46043</v>
      </c>
      <c r="K76" s="3" t="s">
        <v>477</v>
      </c>
      <c r="L76" s="2" t="n">
        <v>46043</v>
      </c>
      <c r="M76" s="3" t="s">
        <v>478</v>
      </c>
      <c r="N76" s="2" t="n">
        <v>46044</v>
      </c>
      <c r="O76" s="3" t="s">
        <v>479</v>
      </c>
      <c r="P76" s="3" t="s">
        <v>480</v>
      </c>
      <c r="Q76" s="2" t="n">
        <v>46044</v>
      </c>
      <c r="R76" s="3" t="s">
        <v>481</v>
      </c>
      <c r="S76" s="3" t="s">
        <v>195</v>
      </c>
      <c r="T76" s="3" t="s">
        <v>40</v>
      </c>
      <c r="U76" s="3" t="s">
        <v>40</v>
      </c>
      <c r="V76" s="3" t="s">
        <v>40</v>
      </c>
      <c r="W76" s="0" t="n">
        <v>5.3818</v>
      </c>
      <c r="X76" s="0" t="n">
        <v>1.5</v>
      </c>
      <c r="Y76" s="0" t="n">
        <v>3.8818</v>
      </c>
      <c r="Z76" s="0" t="n">
        <v>4</v>
      </c>
      <c r="AA76" s="0" t="n">
        <v>3</v>
      </c>
      <c r="AB76" s="4" t="n">
        <f aca="false">I76*AA76*Z76</f>
        <v>12538.08</v>
      </c>
      <c r="AC76" s="4" t="n">
        <f aca="false">AB76*1.18</f>
        <v>14794.9344</v>
      </c>
    </row>
    <row r="77" customFormat="false" ht="15" hidden="false" customHeight="false" outlineLevel="0" collapsed="false">
      <c r="A77" s="0" t="s">
        <v>29</v>
      </c>
      <c r="B77" s="2" t="n">
        <v>46044</v>
      </c>
      <c r="C77" s="3" t="s">
        <v>482</v>
      </c>
      <c r="D77" s="3" t="s">
        <v>73</v>
      </c>
      <c r="E77" s="3" t="s">
        <v>32</v>
      </c>
      <c r="F77" s="3" t="s">
        <v>51</v>
      </c>
      <c r="G77" s="0" t="n">
        <v>83</v>
      </c>
      <c r="H77" s="0" t="n">
        <v>1114.73</v>
      </c>
      <c r="I77" s="0" t="n">
        <v>1449.22</v>
      </c>
      <c r="J77" s="2" t="n">
        <v>46041</v>
      </c>
      <c r="K77" s="3" t="s">
        <v>483</v>
      </c>
      <c r="L77" s="2" t="n">
        <v>46041</v>
      </c>
      <c r="M77" s="3" t="s">
        <v>484</v>
      </c>
      <c r="N77" s="2" t="n">
        <v>46041</v>
      </c>
      <c r="O77" s="3" t="s">
        <v>285</v>
      </c>
      <c r="P77" s="3" t="s">
        <v>485</v>
      </c>
      <c r="Q77" s="2" t="n">
        <v>46044</v>
      </c>
      <c r="R77" s="3" t="s">
        <v>486</v>
      </c>
      <c r="S77" s="3" t="s">
        <v>87</v>
      </c>
      <c r="T77" s="3" t="s">
        <v>40</v>
      </c>
      <c r="U77" s="3" t="s">
        <v>40</v>
      </c>
      <c r="V77" s="3" t="s">
        <v>40</v>
      </c>
      <c r="W77" s="0" t="n">
        <v>2.8047</v>
      </c>
      <c r="X77" s="0" t="n">
        <v>1.5</v>
      </c>
      <c r="Y77" s="0" t="n">
        <v>1.3047</v>
      </c>
      <c r="Z77" s="0" t="n">
        <v>1</v>
      </c>
      <c r="AA77" s="0" t="n">
        <v>3</v>
      </c>
      <c r="AB77" s="4" t="n">
        <f aca="false">I77*AA77*Z77</f>
        <v>4347.66</v>
      </c>
      <c r="AC77" s="4" t="n">
        <f aca="false">AB77*1.18</f>
        <v>5130.2388</v>
      </c>
    </row>
    <row r="78" customFormat="false" ht="15" hidden="false" customHeight="false" outlineLevel="0" collapsed="false">
      <c r="A78" s="0" t="s">
        <v>29</v>
      </c>
      <c r="B78" s="2" t="n">
        <v>46044</v>
      </c>
      <c r="C78" s="3" t="s">
        <v>487</v>
      </c>
      <c r="D78" s="3" t="s">
        <v>31</v>
      </c>
      <c r="E78" s="3" t="s">
        <v>32</v>
      </c>
      <c r="F78" s="3" t="s">
        <v>43</v>
      </c>
      <c r="G78" s="0" t="n">
        <v>62</v>
      </c>
      <c r="H78" s="0" t="n">
        <v>56.39</v>
      </c>
      <c r="I78" s="0" t="n">
        <v>73.54</v>
      </c>
      <c r="J78" s="2" t="n">
        <v>46043</v>
      </c>
      <c r="K78" s="3" t="s">
        <v>488</v>
      </c>
      <c r="L78" s="2" t="n">
        <v>46043</v>
      </c>
      <c r="M78" s="3" t="s">
        <v>489</v>
      </c>
      <c r="N78" s="2" t="n">
        <v>46044</v>
      </c>
      <c r="O78" s="3" t="s">
        <v>490</v>
      </c>
      <c r="P78" s="3" t="s">
        <v>491</v>
      </c>
      <c r="Q78" s="2" t="n">
        <v>46044</v>
      </c>
      <c r="R78" s="3" t="s">
        <v>151</v>
      </c>
      <c r="S78" s="3" t="s">
        <v>255</v>
      </c>
      <c r="T78" s="3" t="s">
        <v>40</v>
      </c>
      <c r="U78" s="3" t="s">
        <v>40</v>
      </c>
      <c r="V78" s="3" t="s">
        <v>40</v>
      </c>
      <c r="W78" s="0" t="n">
        <v>0.3808</v>
      </c>
      <c r="X78" s="0" t="n">
        <v>1.5</v>
      </c>
      <c r="Y78" s="0" t="n">
        <v>-1.1192</v>
      </c>
      <c r="Z78" s="0" t="n">
        <v>-1</v>
      </c>
      <c r="AA78" s="0" t="n">
        <v>3</v>
      </c>
      <c r="AB78" s="4" t="n">
        <f aca="false">I78*AA78*Z78</f>
        <v>-220.62</v>
      </c>
      <c r="AC78" s="4" t="n">
        <f aca="false">AB78*1.18</f>
        <v>-260.3316</v>
      </c>
    </row>
    <row r="79" customFormat="false" ht="15" hidden="false" customHeight="false" outlineLevel="0" collapsed="false">
      <c r="A79" s="0" t="s">
        <v>29</v>
      </c>
      <c r="B79" s="2" t="n">
        <v>46044</v>
      </c>
      <c r="C79" s="3" t="s">
        <v>492</v>
      </c>
      <c r="D79" s="3" t="s">
        <v>31</v>
      </c>
      <c r="E79" s="3" t="s">
        <v>32</v>
      </c>
      <c r="F79" s="3" t="s">
        <v>33</v>
      </c>
      <c r="G79" s="0" t="n">
        <v>144</v>
      </c>
      <c r="H79" s="0" t="n">
        <v>866.53</v>
      </c>
      <c r="I79" s="0" t="n">
        <v>866.66</v>
      </c>
      <c r="J79" s="2" t="n">
        <v>46043</v>
      </c>
      <c r="K79" s="3" t="s">
        <v>493</v>
      </c>
      <c r="L79" s="2" t="n">
        <v>46044</v>
      </c>
      <c r="M79" s="3" t="s">
        <v>494</v>
      </c>
      <c r="N79" s="2" t="n">
        <v>46043</v>
      </c>
      <c r="O79" s="3" t="s">
        <v>495</v>
      </c>
      <c r="P79" s="3" t="s">
        <v>496</v>
      </c>
      <c r="Q79" s="2" t="n">
        <v>46044</v>
      </c>
      <c r="R79" s="3" t="s">
        <v>263</v>
      </c>
      <c r="S79" s="3" t="s">
        <v>70</v>
      </c>
      <c r="T79" s="3" t="s">
        <v>274</v>
      </c>
      <c r="U79" s="3" t="s">
        <v>274</v>
      </c>
      <c r="V79" s="3" t="s">
        <v>274</v>
      </c>
      <c r="W79" s="0" t="n">
        <v>4.1331</v>
      </c>
      <c r="X79" s="0" t="n">
        <v>1.5</v>
      </c>
      <c r="Y79" s="0" t="n">
        <v>2.6331</v>
      </c>
      <c r="Z79" s="0" t="n">
        <v>3</v>
      </c>
      <c r="AA79" s="0" t="n">
        <v>5</v>
      </c>
      <c r="AB79" s="4" t="n">
        <f aca="false">I79*AA79*Z79</f>
        <v>12999.9</v>
      </c>
      <c r="AC79" s="4" t="n">
        <f aca="false">AB79*1.18</f>
        <v>15339.882</v>
      </c>
    </row>
    <row r="80" customFormat="false" ht="15" hidden="false" customHeight="false" outlineLevel="0" collapsed="false">
      <c r="A80" s="0" t="s">
        <v>29</v>
      </c>
      <c r="B80" s="2" t="n">
        <v>46044</v>
      </c>
      <c r="C80" s="3" t="s">
        <v>497</v>
      </c>
      <c r="D80" s="3" t="s">
        <v>73</v>
      </c>
      <c r="E80" s="3" t="s">
        <v>32</v>
      </c>
      <c r="F80" s="3" t="s">
        <v>43</v>
      </c>
      <c r="G80" s="0" t="n">
        <v>143</v>
      </c>
      <c r="H80" s="0" t="n">
        <v>106.2</v>
      </c>
      <c r="I80" s="0" t="n">
        <v>138.46</v>
      </c>
      <c r="J80" s="2" t="n">
        <v>46042</v>
      </c>
      <c r="K80" s="3" t="s">
        <v>295</v>
      </c>
      <c r="L80" s="2" t="n">
        <v>46042</v>
      </c>
      <c r="M80" s="3" t="s">
        <v>498</v>
      </c>
      <c r="N80" s="2" t="n">
        <v>46042</v>
      </c>
      <c r="O80" s="3" t="s">
        <v>461</v>
      </c>
      <c r="P80" s="3" t="s">
        <v>499</v>
      </c>
      <c r="Q80" s="2" t="n">
        <v>46044</v>
      </c>
      <c r="R80" s="3" t="s">
        <v>60</v>
      </c>
      <c r="S80" s="3" t="s">
        <v>365</v>
      </c>
      <c r="T80" s="3" t="s">
        <v>40</v>
      </c>
      <c r="U80" s="3" t="s">
        <v>40</v>
      </c>
      <c r="V80" s="3" t="s">
        <v>40</v>
      </c>
      <c r="W80" s="0" t="n">
        <v>1.4278</v>
      </c>
      <c r="X80" s="0" t="n">
        <v>1.5</v>
      </c>
      <c r="Y80" s="0" t="n">
        <v>-0.0722</v>
      </c>
      <c r="Z80" s="0" t="n">
        <v>-1</v>
      </c>
      <c r="AA80" s="0" t="n">
        <v>3</v>
      </c>
      <c r="AB80" s="4" t="n">
        <f aca="false">I80*AA80*Z80</f>
        <v>-415.38</v>
      </c>
      <c r="AC80" s="4" t="n">
        <f aca="false">AB80*1.18</f>
        <v>-490.1484</v>
      </c>
    </row>
    <row r="81" customFormat="false" ht="15" hidden="false" customHeight="false" outlineLevel="0" collapsed="false">
      <c r="A81" s="0" t="s">
        <v>29</v>
      </c>
      <c r="B81" s="2" t="n">
        <v>46044</v>
      </c>
      <c r="C81" s="3" t="s">
        <v>500</v>
      </c>
      <c r="D81" s="3" t="s">
        <v>31</v>
      </c>
      <c r="E81" s="3" t="s">
        <v>32</v>
      </c>
      <c r="F81" s="3" t="s">
        <v>33</v>
      </c>
      <c r="G81" s="0" t="n">
        <v>193</v>
      </c>
      <c r="H81" s="0" t="n">
        <v>2335.05</v>
      </c>
      <c r="I81" s="0" t="n">
        <v>3035.98</v>
      </c>
      <c r="J81" s="2" t="n">
        <v>46041</v>
      </c>
      <c r="K81" s="3" t="s">
        <v>214</v>
      </c>
      <c r="L81" s="2" t="n">
        <v>46042</v>
      </c>
      <c r="M81" s="3" t="s">
        <v>501</v>
      </c>
      <c r="N81" s="2" t="n">
        <v>46042</v>
      </c>
      <c r="O81" s="3" t="s">
        <v>147</v>
      </c>
      <c r="P81" s="3" t="s">
        <v>502</v>
      </c>
      <c r="Q81" s="2" t="n">
        <v>46044</v>
      </c>
      <c r="R81" s="3" t="s">
        <v>503</v>
      </c>
      <c r="S81" s="3" t="s">
        <v>157</v>
      </c>
      <c r="T81" s="3" t="s">
        <v>504</v>
      </c>
      <c r="U81" s="3" t="s">
        <v>504</v>
      </c>
      <c r="V81" s="3" t="s">
        <v>504</v>
      </c>
      <c r="W81" s="0" t="n">
        <v>5.063</v>
      </c>
      <c r="X81" s="0" t="n">
        <v>1.5</v>
      </c>
      <c r="Y81" s="0" t="n">
        <v>3.563</v>
      </c>
      <c r="Z81" s="0" t="n">
        <v>4</v>
      </c>
      <c r="AA81" s="0" t="n">
        <v>12</v>
      </c>
      <c r="AB81" s="4" t="n">
        <f aca="false">I81*AA81*Z81</f>
        <v>145727.04</v>
      </c>
      <c r="AC81" s="4" t="n">
        <f aca="false">AB81*1.18</f>
        <v>171957.9072</v>
      </c>
    </row>
    <row r="82" customFormat="false" ht="15" hidden="false" customHeight="false" outlineLevel="0" collapsed="false">
      <c r="A82" s="0" t="s">
        <v>41</v>
      </c>
      <c r="B82" s="2" t="n">
        <v>46045</v>
      </c>
      <c r="C82" s="3" t="s">
        <v>505</v>
      </c>
      <c r="D82" s="3" t="s">
        <v>73</v>
      </c>
      <c r="E82" s="3" t="s">
        <v>32</v>
      </c>
      <c r="F82" s="3" t="s">
        <v>43</v>
      </c>
      <c r="G82" s="0" t="n">
        <v>130</v>
      </c>
      <c r="H82" s="0" t="n">
        <v>208.06</v>
      </c>
      <c r="I82" s="0" t="n">
        <v>312.21</v>
      </c>
      <c r="J82" s="2" t="n">
        <v>46044</v>
      </c>
      <c r="K82" s="3" t="s">
        <v>506</v>
      </c>
      <c r="L82" s="2" t="n">
        <v>46044</v>
      </c>
      <c r="M82" s="3" t="s">
        <v>507</v>
      </c>
      <c r="N82" s="2" t="n">
        <v>46044</v>
      </c>
      <c r="O82" s="3" t="s">
        <v>508</v>
      </c>
      <c r="P82" s="3" t="s">
        <v>509</v>
      </c>
      <c r="Q82" s="2" t="n">
        <v>46045</v>
      </c>
      <c r="R82" s="3" t="s">
        <v>510</v>
      </c>
      <c r="S82" s="3" t="s">
        <v>87</v>
      </c>
      <c r="T82" s="3" t="s">
        <v>40</v>
      </c>
      <c r="U82" s="3" t="s">
        <v>40</v>
      </c>
      <c r="V82" s="3" t="s">
        <v>40</v>
      </c>
      <c r="W82" s="0" t="n">
        <v>1.9563</v>
      </c>
      <c r="X82" s="0" t="n">
        <v>1.5</v>
      </c>
      <c r="Y82" s="0" t="n">
        <v>0.4563</v>
      </c>
      <c r="Z82" s="0" t="n">
        <v>1</v>
      </c>
      <c r="AA82" s="0" t="n">
        <v>3</v>
      </c>
      <c r="AB82" s="4" t="n">
        <f aca="false">I82*AA82*Z82</f>
        <v>936.63</v>
      </c>
      <c r="AC82" s="4" t="n">
        <f aca="false">AB82*1.18</f>
        <v>1105.2234</v>
      </c>
    </row>
    <row r="83" customFormat="false" ht="15" hidden="false" customHeight="false" outlineLevel="0" collapsed="false">
      <c r="A83" s="0" t="s">
        <v>29</v>
      </c>
      <c r="B83" s="2" t="n">
        <v>46045</v>
      </c>
      <c r="C83" s="3" t="s">
        <v>511</v>
      </c>
      <c r="D83" s="3" t="s">
        <v>31</v>
      </c>
      <c r="E83" s="3" t="s">
        <v>32</v>
      </c>
      <c r="F83" s="3" t="s">
        <v>43</v>
      </c>
      <c r="G83" s="0" t="n">
        <v>84</v>
      </c>
      <c r="H83" s="0" t="n">
        <v>646.78</v>
      </c>
      <c r="I83" s="0" t="n">
        <v>647.15</v>
      </c>
      <c r="J83" s="2" t="n">
        <v>46042</v>
      </c>
      <c r="K83" s="3" t="s">
        <v>512</v>
      </c>
      <c r="L83" s="2" t="n">
        <v>46042</v>
      </c>
      <c r="M83" s="3" t="s">
        <v>513</v>
      </c>
      <c r="N83" s="2" t="n">
        <v>46043</v>
      </c>
      <c r="O83" s="3" t="s">
        <v>131</v>
      </c>
      <c r="P83" s="3" t="s">
        <v>514</v>
      </c>
      <c r="Q83" s="2" t="n">
        <v>46045</v>
      </c>
      <c r="R83" s="3" t="s">
        <v>515</v>
      </c>
      <c r="S83" s="3" t="s">
        <v>182</v>
      </c>
      <c r="T83" s="3" t="s">
        <v>40</v>
      </c>
      <c r="U83" s="3" t="s">
        <v>40</v>
      </c>
      <c r="V83" s="3" t="s">
        <v>40</v>
      </c>
      <c r="W83" s="0" t="n">
        <v>1.2918</v>
      </c>
      <c r="X83" s="0" t="n">
        <v>1.5</v>
      </c>
      <c r="Y83" s="0" t="n">
        <v>-0.2082</v>
      </c>
      <c r="Z83" s="0" t="n">
        <v>-1</v>
      </c>
      <c r="AA83" s="0" t="n">
        <v>3</v>
      </c>
      <c r="AB83" s="4" t="n">
        <f aca="false">I83*AA83*Z83</f>
        <v>-1941.45</v>
      </c>
      <c r="AC83" s="4" t="n">
        <f aca="false">AB83*1.18</f>
        <v>-2290.911</v>
      </c>
    </row>
    <row r="84" customFormat="false" ht="15" hidden="false" customHeight="false" outlineLevel="0" collapsed="false">
      <c r="A84" s="0" t="s">
        <v>41</v>
      </c>
      <c r="B84" s="2" t="n">
        <v>46046</v>
      </c>
      <c r="C84" s="3" t="s">
        <v>516</v>
      </c>
      <c r="D84" s="3" t="s">
        <v>31</v>
      </c>
      <c r="E84" s="3" t="s">
        <v>32</v>
      </c>
      <c r="F84" s="3" t="s">
        <v>51</v>
      </c>
      <c r="G84" s="0" t="n">
        <v>194</v>
      </c>
      <c r="H84" s="0" t="n">
        <v>455.82</v>
      </c>
      <c r="I84" s="0" t="n">
        <v>455.99</v>
      </c>
      <c r="J84" s="2" t="n">
        <v>46043</v>
      </c>
      <c r="K84" s="3" t="s">
        <v>517</v>
      </c>
      <c r="L84" s="2" t="n">
        <v>46043</v>
      </c>
      <c r="M84" s="3" t="s">
        <v>215</v>
      </c>
      <c r="N84" s="2" t="n">
        <v>46044</v>
      </c>
      <c r="O84" s="3" t="s">
        <v>518</v>
      </c>
      <c r="P84" s="3" t="s">
        <v>519</v>
      </c>
      <c r="Q84" s="2" t="n">
        <v>46046</v>
      </c>
      <c r="R84" s="3" t="s">
        <v>520</v>
      </c>
      <c r="S84" s="3" t="s">
        <v>57</v>
      </c>
      <c r="T84" s="3" t="s">
        <v>71</v>
      </c>
      <c r="U84" s="3" t="s">
        <v>71</v>
      </c>
      <c r="V84" s="3" t="s">
        <v>71</v>
      </c>
      <c r="W84" s="0" t="n">
        <v>0.617</v>
      </c>
      <c r="X84" s="0" t="n">
        <v>1.5</v>
      </c>
      <c r="Y84" s="0" t="n">
        <v>-0.883</v>
      </c>
      <c r="Z84" s="0" t="n">
        <v>-1</v>
      </c>
      <c r="AA84" s="0" t="n">
        <v>12</v>
      </c>
      <c r="AB84" s="4" t="n">
        <f aca="false">I84*AA84*Z84</f>
        <v>-5471.88</v>
      </c>
      <c r="AC84" s="4" t="n">
        <f aca="false">AB84*1.18</f>
        <v>-6456.8184</v>
      </c>
    </row>
    <row r="85" customFormat="false" ht="15" hidden="false" customHeight="false" outlineLevel="0" collapsed="false">
      <c r="A85" s="0" t="s">
        <v>29</v>
      </c>
      <c r="B85" s="2" t="n">
        <v>46046</v>
      </c>
      <c r="C85" s="3" t="s">
        <v>521</v>
      </c>
      <c r="D85" s="3" t="s">
        <v>73</v>
      </c>
      <c r="E85" s="3" t="s">
        <v>32</v>
      </c>
      <c r="F85" s="3" t="s">
        <v>51</v>
      </c>
      <c r="G85" s="0" t="n">
        <v>20</v>
      </c>
      <c r="H85" s="0" t="n">
        <v>1186.74</v>
      </c>
      <c r="I85" s="0" t="n">
        <v>1305.75</v>
      </c>
      <c r="J85" s="2" t="n">
        <v>46043</v>
      </c>
      <c r="K85" s="3" t="s">
        <v>522</v>
      </c>
      <c r="L85" s="2" t="n">
        <v>46043</v>
      </c>
      <c r="M85" s="3" t="s">
        <v>523</v>
      </c>
      <c r="N85" s="2" t="n">
        <v>46043</v>
      </c>
      <c r="O85" s="3" t="s">
        <v>524</v>
      </c>
      <c r="P85" s="3" t="s">
        <v>525</v>
      </c>
      <c r="Q85" s="2" t="n">
        <v>46046</v>
      </c>
      <c r="R85" s="3" t="s">
        <v>69</v>
      </c>
      <c r="S85" s="3" t="s">
        <v>121</v>
      </c>
      <c r="T85" s="3" t="s">
        <v>40</v>
      </c>
      <c r="U85" s="3" t="s">
        <v>40</v>
      </c>
      <c r="V85" s="3" t="s">
        <v>40</v>
      </c>
      <c r="W85" s="0" t="n">
        <v>1.993</v>
      </c>
      <c r="X85" s="0" t="n">
        <v>1.5</v>
      </c>
      <c r="Y85" s="0" t="n">
        <v>0.493</v>
      </c>
      <c r="Z85" s="0" t="n">
        <v>1</v>
      </c>
      <c r="AA85" s="0" t="n">
        <v>3</v>
      </c>
      <c r="AB85" s="4" t="n">
        <f aca="false">I85*AA85*Z85</f>
        <v>3917.25</v>
      </c>
      <c r="AC85" s="4" t="n">
        <f aca="false">AB85*1.18</f>
        <v>4622.355</v>
      </c>
    </row>
    <row r="86" customFormat="false" ht="15" hidden="false" customHeight="false" outlineLevel="0" collapsed="false">
      <c r="A86" s="0" t="s">
        <v>41</v>
      </c>
      <c r="B86" s="2" t="n">
        <v>46048</v>
      </c>
      <c r="C86" s="3" t="s">
        <v>526</v>
      </c>
      <c r="D86" s="3" t="s">
        <v>73</v>
      </c>
      <c r="E86" s="3" t="s">
        <v>32</v>
      </c>
      <c r="F86" s="3" t="s">
        <v>43</v>
      </c>
      <c r="G86" s="0" t="n">
        <v>111</v>
      </c>
      <c r="H86" s="0" t="n">
        <v>2153.31</v>
      </c>
      <c r="I86" s="0" t="n">
        <v>2368.84</v>
      </c>
      <c r="J86" s="2" t="n">
        <v>46045</v>
      </c>
      <c r="K86" s="3" t="s">
        <v>527</v>
      </c>
      <c r="L86" s="2" t="n">
        <v>46045</v>
      </c>
      <c r="M86" s="3" t="s">
        <v>528</v>
      </c>
      <c r="N86" s="2" t="n">
        <v>46045</v>
      </c>
      <c r="O86" s="3" t="s">
        <v>529</v>
      </c>
      <c r="P86" s="3" t="s">
        <v>530</v>
      </c>
      <c r="Q86" s="2" t="n">
        <v>46048</v>
      </c>
      <c r="R86" s="3" t="s">
        <v>531</v>
      </c>
      <c r="S86" s="3" t="s">
        <v>365</v>
      </c>
      <c r="T86" s="3" t="s">
        <v>80</v>
      </c>
      <c r="U86" s="3" t="s">
        <v>80</v>
      </c>
      <c r="V86" s="3" t="s">
        <v>80</v>
      </c>
      <c r="W86" s="0" t="n">
        <v>4.2366</v>
      </c>
      <c r="X86" s="0" t="n">
        <v>1.5</v>
      </c>
      <c r="Y86" s="0" t="n">
        <v>2.7366</v>
      </c>
      <c r="Z86" s="0" t="n">
        <v>3</v>
      </c>
      <c r="AA86" s="0" t="n">
        <v>3</v>
      </c>
      <c r="AB86" s="4" t="n">
        <f aca="false">I86*AA86*Z86</f>
        <v>21319.56</v>
      </c>
      <c r="AC86" s="4" t="n">
        <f aca="false">AB86*1.18</f>
        <v>25157.0808</v>
      </c>
    </row>
    <row r="87" customFormat="false" ht="15" hidden="false" customHeight="false" outlineLevel="0" collapsed="false">
      <c r="A87" s="0" t="s">
        <v>41</v>
      </c>
      <c r="B87" s="2" t="n">
        <v>46048</v>
      </c>
      <c r="C87" s="3" t="s">
        <v>532</v>
      </c>
      <c r="D87" s="3" t="s">
        <v>73</v>
      </c>
      <c r="E87" s="3" t="s">
        <v>32</v>
      </c>
      <c r="F87" s="3" t="s">
        <v>33</v>
      </c>
      <c r="G87" s="0" t="n">
        <v>200</v>
      </c>
      <c r="H87" s="0" t="n">
        <v>2193.67</v>
      </c>
      <c r="I87" s="0" t="n">
        <v>2194.02</v>
      </c>
      <c r="J87" s="2" t="n">
        <v>46046</v>
      </c>
      <c r="K87" s="3" t="s">
        <v>533</v>
      </c>
      <c r="L87" s="2" t="n">
        <v>46046</v>
      </c>
      <c r="M87" s="3" t="s">
        <v>534</v>
      </c>
      <c r="N87" s="2" t="n">
        <v>46047</v>
      </c>
      <c r="O87" s="3" t="s">
        <v>535</v>
      </c>
      <c r="P87" s="3" t="s">
        <v>536</v>
      </c>
      <c r="Q87" s="2" t="n">
        <v>46048</v>
      </c>
      <c r="R87" s="3" t="s">
        <v>537</v>
      </c>
      <c r="S87" s="3" t="s">
        <v>157</v>
      </c>
      <c r="T87" s="3" t="s">
        <v>40</v>
      </c>
      <c r="U87" s="3" t="s">
        <v>40</v>
      </c>
      <c r="V87" s="3" t="s">
        <v>40</v>
      </c>
      <c r="W87" s="0" t="n">
        <v>2.4236</v>
      </c>
      <c r="X87" s="0" t="n">
        <v>1.5</v>
      </c>
      <c r="Y87" s="0" t="n">
        <v>0.9236</v>
      </c>
      <c r="Z87" s="0" t="n">
        <v>1</v>
      </c>
      <c r="AA87" s="0" t="n">
        <v>3</v>
      </c>
      <c r="AB87" s="4" t="n">
        <f aca="false">I87*AA87*Z87</f>
        <v>6582.06</v>
      </c>
      <c r="AC87" s="4" t="n">
        <f aca="false">AB87*1.18</f>
        <v>7766.8308</v>
      </c>
    </row>
    <row r="88" customFormat="false" ht="15" hidden="false" customHeight="false" outlineLevel="0" collapsed="false">
      <c r="A88" s="0" t="s">
        <v>41</v>
      </c>
      <c r="B88" s="2" t="n">
        <v>46048</v>
      </c>
      <c r="C88" s="3" t="s">
        <v>538</v>
      </c>
      <c r="D88" s="3" t="s">
        <v>73</v>
      </c>
      <c r="E88" s="3" t="s">
        <v>32</v>
      </c>
      <c r="F88" s="3" t="s">
        <v>43</v>
      </c>
      <c r="G88" s="0" t="n">
        <v>53</v>
      </c>
      <c r="H88" s="0" t="n">
        <v>269.63</v>
      </c>
      <c r="I88" s="0" t="n">
        <v>404.63</v>
      </c>
      <c r="J88" s="2" t="n">
        <v>46046</v>
      </c>
      <c r="K88" s="3" t="s">
        <v>539</v>
      </c>
      <c r="L88" s="2" t="n">
        <v>46046</v>
      </c>
      <c r="M88" s="3" t="s">
        <v>540</v>
      </c>
      <c r="N88" s="2" t="n">
        <v>46047</v>
      </c>
      <c r="O88" s="3" t="s">
        <v>541</v>
      </c>
      <c r="P88" s="3" t="s">
        <v>542</v>
      </c>
      <c r="Q88" s="2" t="n">
        <v>46048</v>
      </c>
      <c r="R88" s="3" t="s">
        <v>543</v>
      </c>
      <c r="S88" s="3" t="s">
        <v>232</v>
      </c>
      <c r="T88" s="3" t="s">
        <v>40</v>
      </c>
      <c r="U88" s="3" t="s">
        <v>40</v>
      </c>
      <c r="V88" s="3" t="s">
        <v>40</v>
      </c>
      <c r="W88" s="0" t="n">
        <v>1.94</v>
      </c>
      <c r="X88" s="0" t="n">
        <v>1.5</v>
      </c>
      <c r="Y88" s="0" t="n">
        <v>0.44</v>
      </c>
      <c r="Z88" s="0" t="n">
        <v>1</v>
      </c>
      <c r="AA88" s="0" t="n">
        <v>3</v>
      </c>
      <c r="AB88" s="4" t="n">
        <f aca="false">I88*AA88*Z88</f>
        <v>1213.89</v>
      </c>
      <c r="AC88" s="4" t="n">
        <f aca="false">AB88*1.18</f>
        <v>1432.3902</v>
      </c>
    </row>
    <row r="89" customFormat="false" ht="15" hidden="false" customHeight="false" outlineLevel="0" collapsed="false">
      <c r="A89" s="0" t="s">
        <v>29</v>
      </c>
      <c r="B89" s="2" t="n">
        <v>46048</v>
      </c>
      <c r="C89" s="3" t="s">
        <v>544</v>
      </c>
      <c r="D89" s="3" t="s">
        <v>31</v>
      </c>
      <c r="E89" s="3" t="s">
        <v>32</v>
      </c>
      <c r="F89" s="3" t="s">
        <v>33</v>
      </c>
      <c r="G89" s="0" t="n">
        <v>154</v>
      </c>
      <c r="H89" s="0" t="n">
        <v>2401.75</v>
      </c>
      <c r="I89" s="0" t="n">
        <v>2642.08</v>
      </c>
      <c r="J89" s="2" t="n">
        <v>46047</v>
      </c>
      <c r="K89" s="3" t="s">
        <v>259</v>
      </c>
      <c r="L89" s="2" t="n">
        <v>46047</v>
      </c>
      <c r="M89" s="3" t="s">
        <v>545</v>
      </c>
      <c r="N89" s="2" t="n">
        <v>46047</v>
      </c>
      <c r="O89" s="3" t="s">
        <v>137</v>
      </c>
      <c r="P89" s="3" t="s">
        <v>546</v>
      </c>
      <c r="Q89" s="2" t="n">
        <v>46048</v>
      </c>
      <c r="R89" s="3" t="s">
        <v>547</v>
      </c>
      <c r="S89" s="3" t="s">
        <v>189</v>
      </c>
      <c r="T89" s="3" t="s">
        <v>40</v>
      </c>
      <c r="U89" s="3" t="s">
        <v>40</v>
      </c>
      <c r="V89" s="3" t="s">
        <v>40</v>
      </c>
      <c r="W89" s="0" t="n">
        <v>2.7583</v>
      </c>
      <c r="X89" s="0" t="n">
        <v>1.5</v>
      </c>
      <c r="Y89" s="0" t="n">
        <v>1.2583</v>
      </c>
      <c r="Z89" s="0" t="n">
        <v>1</v>
      </c>
      <c r="AA89" s="0" t="n">
        <v>3</v>
      </c>
      <c r="AB89" s="4" t="n">
        <f aca="false">I89*AA89*Z89</f>
        <v>7926.24</v>
      </c>
      <c r="AC89" s="4" t="n">
        <f aca="false">AB89*1.18</f>
        <v>9352.9632</v>
      </c>
    </row>
    <row r="90" customFormat="false" ht="15" hidden="false" customHeight="false" outlineLevel="0" collapsed="false">
      <c r="A90" s="0" t="s">
        <v>29</v>
      </c>
      <c r="B90" s="2" t="n">
        <v>46048</v>
      </c>
      <c r="C90" s="3" t="s">
        <v>548</v>
      </c>
      <c r="D90" s="3" t="s">
        <v>31</v>
      </c>
      <c r="E90" s="3" t="s">
        <v>32</v>
      </c>
      <c r="F90" s="3" t="s">
        <v>43</v>
      </c>
      <c r="G90" s="0" t="n">
        <v>49</v>
      </c>
      <c r="H90" s="0" t="n">
        <v>1617.98</v>
      </c>
      <c r="I90" s="0" t="n">
        <v>1618.27</v>
      </c>
      <c r="J90" s="2" t="n">
        <v>46045</v>
      </c>
      <c r="K90" s="3" t="s">
        <v>323</v>
      </c>
      <c r="L90" s="2" t="n">
        <v>46045</v>
      </c>
      <c r="M90" s="3" t="s">
        <v>549</v>
      </c>
      <c r="N90" s="2" t="n">
        <v>46046</v>
      </c>
      <c r="O90" s="3" t="s">
        <v>550</v>
      </c>
      <c r="P90" s="3" t="s">
        <v>551</v>
      </c>
      <c r="Q90" s="2" t="n">
        <v>46048</v>
      </c>
      <c r="R90" s="3" t="s">
        <v>552</v>
      </c>
      <c r="S90" s="3" t="s">
        <v>255</v>
      </c>
      <c r="T90" s="3" t="s">
        <v>40</v>
      </c>
      <c r="U90" s="3" t="s">
        <v>40</v>
      </c>
      <c r="V90" s="3" t="s">
        <v>40</v>
      </c>
      <c r="W90" s="0" t="n">
        <v>0.396</v>
      </c>
      <c r="X90" s="0" t="n">
        <v>1.5</v>
      </c>
      <c r="Y90" s="0" t="n">
        <v>-1.104</v>
      </c>
      <c r="Z90" s="0" t="n">
        <v>-1</v>
      </c>
      <c r="AA90" s="0" t="n">
        <v>3</v>
      </c>
      <c r="AB90" s="4" t="n">
        <f aca="false">I90*AA90*Z90</f>
        <v>-4854.81</v>
      </c>
      <c r="AC90" s="4" t="n">
        <f aca="false">AB90*1.18</f>
        <v>-5728.6758</v>
      </c>
    </row>
    <row r="91" customFormat="false" ht="15" hidden="false" customHeight="false" outlineLevel="0" collapsed="false">
      <c r="A91" s="0" t="s">
        <v>41</v>
      </c>
      <c r="B91" s="2" t="n">
        <v>46049</v>
      </c>
      <c r="C91" s="3" t="s">
        <v>553</v>
      </c>
      <c r="D91" s="3" t="s">
        <v>31</v>
      </c>
      <c r="E91" s="3" t="s">
        <v>32</v>
      </c>
      <c r="F91" s="3" t="s">
        <v>51</v>
      </c>
      <c r="G91" s="0" t="n">
        <v>113</v>
      </c>
      <c r="H91" s="0" t="n">
        <v>2437.76</v>
      </c>
      <c r="I91" s="0" t="n">
        <v>3169.1</v>
      </c>
      <c r="J91" s="2" t="n">
        <v>46048</v>
      </c>
      <c r="K91" s="3" t="s">
        <v>554</v>
      </c>
      <c r="L91" s="2" t="n">
        <v>46048</v>
      </c>
      <c r="M91" s="3" t="s">
        <v>555</v>
      </c>
      <c r="N91" s="2" t="n">
        <v>46048</v>
      </c>
      <c r="O91" s="3" t="s">
        <v>556</v>
      </c>
      <c r="P91" s="3" t="s">
        <v>557</v>
      </c>
      <c r="Q91" s="2" t="n">
        <v>46049</v>
      </c>
      <c r="R91" s="3" t="s">
        <v>156</v>
      </c>
      <c r="S91" s="3" t="s">
        <v>57</v>
      </c>
      <c r="T91" s="3" t="s">
        <v>40</v>
      </c>
      <c r="U91" s="3" t="s">
        <v>40</v>
      </c>
      <c r="V91" s="3" t="s">
        <v>40</v>
      </c>
      <c r="W91" s="0" t="n">
        <v>1.5288</v>
      </c>
      <c r="X91" s="0" t="n">
        <v>1.5</v>
      </c>
      <c r="Y91" s="0" t="n">
        <v>0.0288</v>
      </c>
      <c r="Z91" s="0" t="n">
        <v>1</v>
      </c>
      <c r="AA91" s="0" t="n">
        <v>3</v>
      </c>
      <c r="AB91" s="4" t="n">
        <f aca="false">I91*AA91*Z91</f>
        <v>9507.3</v>
      </c>
      <c r="AC91" s="4" t="n">
        <f aca="false">AB91*1.18</f>
        <v>11218.614</v>
      </c>
    </row>
    <row r="92" customFormat="false" ht="15" hidden="false" customHeight="false" outlineLevel="0" collapsed="false">
      <c r="A92" s="0" t="s">
        <v>41</v>
      </c>
      <c r="B92" s="2" t="n">
        <v>46049</v>
      </c>
      <c r="C92" s="3" t="s">
        <v>558</v>
      </c>
      <c r="D92" s="3" t="s">
        <v>73</v>
      </c>
      <c r="E92" s="3" t="s">
        <v>32</v>
      </c>
      <c r="F92" s="3" t="s">
        <v>51</v>
      </c>
      <c r="G92" s="0" t="n">
        <v>27</v>
      </c>
      <c r="H92" s="0" t="n">
        <v>1048.23</v>
      </c>
      <c r="I92" s="0" t="n">
        <v>1153.18</v>
      </c>
      <c r="J92" s="2" t="n">
        <v>46046</v>
      </c>
      <c r="K92" s="3" t="s">
        <v>559</v>
      </c>
      <c r="L92" s="2" t="n">
        <v>46047</v>
      </c>
      <c r="M92" s="3" t="s">
        <v>560</v>
      </c>
      <c r="N92" s="2" t="n">
        <v>46046</v>
      </c>
      <c r="O92" s="3" t="s">
        <v>561</v>
      </c>
      <c r="P92" s="3" t="s">
        <v>562</v>
      </c>
      <c r="Q92" s="2" t="n">
        <v>46049</v>
      </c>
      <c r="R92" s="3" t="s">
        <v>563</v>
      </c>
      <c r="S92" s="3" t="s">
        <v>79</v>
      </c>
      <c r="T92" s="3" t="s">
        <v>80</v>
      </c>
      <c r="U92" s="3" t="s">
        <v>80</v>
      </c>
      <c r="V92" s="3" t="s">
        <v>80</v>
      </c>
      <c r="W92" s="0" t="n">
        <v>0.9464</v>
      </c>
      <c r="X92" s="0" t="n">
        <v>1.5</v>
      </c>
      <c r="Y92" s="0" t="n">
        <v>-0.5536</v>
      </c>
      <c r="Z92" s="0" t="n">
        <v>-1</v>
      </c>
      <c r="AA92" s="0" t="n">
        <v>3</v>
      </c>
      <c r="AB92" s="4" t="n">
        <f aca="false">I92*AA92*Z92</f>
        <v>-3459.54</v>
      </c>
      <c r="AC92" s="4" t="n">
        <f aca="false">AB92*1.18</f>
        <v>-4082.2572</v>
      </c>
    </row>
    <row r="93" customFormat="false" ht="15" hidden="false" customHeight="false" outlineLevel="0" collapsed="false">
      <c r="A93" s="0" t="s">
        <v>29</v>
      </c>
      <c r="B93" s="2" t="n">
        <v>46049</v>
      </c>
      <c r="C93" s="3" t="s">
        <v>564</v>
      </c>
      <c r="D93" s="3" t="s">
        <v>73</v>
      </c>
      <c r="E93" s="3" t="s">
        <v>32</v>
      </c>
      <c r="F93" s="3" t="s">
        <v>33</v>
      </c>
      <c r="G93" s="0" t="n">
        <v>98</v>
      </c>
      <c r="H93" s="0" t="n">
        <v>301.69</v>
      </c>
      <c r="I93" s="0" t="n">
        <v>301.94</v>
      </c>
      <c r="J93" s="2" t="n">
        <v>46048</v>
      </c>
      <c r="K93" s="3" t="s">
        <v>565</v>
      </c>
      <c r="L93" s="2" t="n">
        <v>46048</v>
      </c>
      <c r="M93" s="3" t="s">
        <v>566</v>
      </c>
      <c r="N93" s="2" t="n">
        <v>46049</v>
      </c>
      <c r="O93" s="3" t="s">
        <v>567</v>
      </c>
      <c r="P93" s="3" t="s">
        <v>568</v>
      </c>
      <c r="Q93" s="2" t="n">
        <v>46049</v>
      </c>
      <c r="R93" s="3" t="s">
        <v>569</v>
      </c>
      <c r="S93" s="3" t="s">
        <v>87</v>
      </c>
      <c r="T93" s="3" t="s">
        <v>40</v>
      </c>
      <c r="U93" s="3" t="s">
        <v>40</v>
      </c>
      <c r="V93" s="3" t="s">
        <v>40</v>
      </c>
      <c r="W93" s="0" t="n">
        <v>4.4689</v>
      </c>
      <c r="X93" s="0" t="n">
        <v>1.5</v>
      </c>
      <c r="Y93" s="0" t="n">
        <v>2.9689</v>
      </c>
      <c r="Z93" s="0" t="n">
        <v>3</v>
      </c>
      <c r="AA93" s="0" t="n">
        <v>3</v>
      </c>
      <c r="AB93" s="4" t="n">
        <f aca="false">I93*AA93*Z93</f>
        <v>2717.46</v>
      </c>
      <c r="AC93" s="4" t="n">
        <f aca="false">AB93*1.18</f>
        <v>3206.6028</v>
      </c>
    </row>
    <row r="94" customFormat="false" ht="15" hidden="false" customHeight="false" outlineLevel="0" collapsed="false">
      <c r="A94" s="0" t="s">
        <v>29</v>
      </c>
      <c r="B94" s="2" t="n">
        <v>46049</v>
      </c>
      <c r="C94" s="3" t="s">
        <v>570</v>
      </c>
      <c r="D94" s="3" t="s">
        <v>31</v>
      </c>
      <c r="E94" s="3" t="s">
        <v>32</v>
      </c>
      <c r="F94" s="3" t="s">
        <v>43</v>
      </c>
      <c r="G94" s="0" t="n">
        <v>187</v>
      </c>
      <c r="H94" s="0" t="n">
        <v>662.86</v>
      </c>
      <c r="I94" s="0" t="n">
        <v>729.57</v>
      </c>
      <c r="J94" s="2" t="n">
        <v>46048</v>
      </c>
      <c r="K94" s="3" t="s">
        <v>571</v>
      </c>
      <c r="L94" s="2" t="n">
        <v>46048</v>
      </c>
      <c r="M94" s="3" t="s">
        <v>572</v>
      </c>
      <c r="N94" s="2" t="n">
        <v>46048</v>
      </c>
      <c r="O94" s="3" t="s">
        <v>573</v>
      </c>
      <c r="P94" s="3" t="s">
        <v>574</v>
      </c>
      <c r="Q94" s="2" t="n">
        <v>46049</v>
      </c>
      <c r="R94" s="3" t="s">
        <v>575</v>
      </c>
      <c r="S94" s="3" t="s">
        <v>157</v>
      </c>
      <c r="T94" s="3" t="s">
        <v>40</v>
      </c>
      <c r="U94" s="3" t="s">
        <v>40</v>
      </c>
      <c r="V94" s="3" t="s">
        <v>40</v>
      </c>
      <c r="W94" s="0" t="n">
        <v>5.4277</v>
      </c>
      <c r="X94" s="0" t="n">
        <v>1.5</v>
      </c>
      <c r="Y94" s="0" t="n">
        <v>3.9277</v>
      </c>
      <c r="Z94" s="0" t="n">
        <v>4</v>
      </c>
      <c r="AA94" s="0" t="n">
        <v>3</v>
      </c>
      <c r="AB94" s="4" t="n">
        <f aca="false">I94*AA94*Z94</f>
        <v>8754.84</v>
      </c>
      <c r="AC94" s="4" t="n">
        <f aca="false">AB94*1.18</f>
        <v>10330.7112</v>
      </c>
    </row>
    <row r="95" customFormat="false" ht="15" hidden="false" customHeight="false" outlineLevel="0" collapsed="false">
      <c r="A95" s="0" t="s">
        <v>41</v>
      </c>
      <c r="B95" s="2" t="n">
        <v>46050</v>
      </c>
      <c r="C95" s="3" t="s">
        <v>576</v>
      </c>
      <c r="D95" s="3" t="s">
        <v>31</v>
      </c>
      <c r="E95" s="3" t="s">
        <v>32</v>
      </c>
      <c r="F95" s="3" t="s">
        <v>33</v>
      </c>
      <c r="G95" s="0" t="n">
        <v>2</v>
      </c>
      <c r="H95" s="0" t="n">
        <v>926.58</v>
      </c>
      <c r="I95" s="0" t="n">
        <v>927.02</v>
      </c>
      <c r="J95" s="2" t="n">
        <v>46049</v>
      </c>
      <c r="K95" s="3" t="s">
        <v>117</v>
      </c>
      <c r="L95" s="2" t="n">
        <v>46050</v>
      </c>
      <c r="M95" s="3" t="s">
        <v>577</v>
      </c>
      <c r="N95" s="2" t="n">
        <v>46049</v>
      </c>
      <c r="O95" s="3" t="s">
        <v>578</v>
      </c>
      <c r="P95" s="3" t="s">
        <v>579</v>
      </c>
      <c r="Q95" s="2" t="n">
        <v>46050</v>
      </c>
      <c r="R95" s="3" t="s">
        <v>580</v>
      </c>
      <c r="S95" s="3" t="s">
        <v>232</v>
      </c>
      <c r="T95" s="3" t="s">
        <v>80</v>
      </c>
      <c r="U95" s="3" t="s">
        <v>80</v>
      </c>
      <c r="V95" s="3" t="s">
        <v>80</v>
      </c>
      <c r="W95" s="0" t="n">
        <v>3.5821</v>
      </c>
      <c r="X95" s="0" t="n">
        <v>1.5</v>
      </c>
      <c r="Y95" s="0" t="n">
        <v>2.0821</v>
      </c>
      <c r="Z95" s="0" t="n">
        <v>2</v>
      </c>
      <c r="AA95" s="0" t="n">
        <v>3</v>
      </c>
      <c r="AB95" s="4" t="n">
        <f aca="false">I95*AA95*Z95</f>
        <v>5562.12</v>
      </c>
      <c r="AC95" s="4" t="n">
        <f aca="false">AB95*1.18</f>
        <v>6563.3016</v>
      </c>
    </row>
    <row r="96" customFormat="false" ht="15" hidden="false" customHeight="false" outlineLevel="0" collapsed="false">
      <c r="A96" s="0" t="s">
        <v>41</v>
      </c>
      <c r="B96" s="2" t="n">
        <v>46050</v>
      </c>
      <c r="C96" s="3" t="s">
        <v>581</v>
      </c>
      <c r="D96" s="3" t="s">
        <v>31</v>
      </c>
      <c r="E96" s="3" t="s">
        <v>32</v>
      </c>
      <c r="F96" s="3" t="s">
        <v>33</v>
      </c>
      <c r="G96" s="0" t="n">
        <v>130</v>
      </c>
      <c r="H96" s="0" t="n">
        <v>759.78</v>
      </c>
      <c r="I96" s="0" t="n">
        <v>759.84</v>
      </c>
      <c r="J96" s="2" t="n">
        <v>46047</v>
      </c>
      <c r="K96" s="3" t="s">
        <v>582</v>
      </c>
      <c r="L96" s="2" t="n">
        <v>46047</v>
      </c>
      <c r="M96" s="3" t="s">
        <v>583</v>
      </c>
      <c r="N96" s="2" t="n">
        <v>46047</v>
      </c>
      <c r="O96" s="3" t="s">
        <v>384</v>
      </c>
      <c r="P96" s="3" t="s">
        <v>584</v>
      </c>
      <c r="Q96" s="2" t="n">
        <v>46050</v>
      </c>
      <c r="R96" s="3" t="s">
        <v>585</v>
      </c>
      <c r="S96" s="3" t="s">
        <v>87</v>
      </c>
      <c r="T96" s="3" t="s">
        <v>40</v>
      </c>
      <c r="U96" s="3" t="s">
        <v>40</v>
      </c>
      <c r="V96" s="3" t="s">
        <v>40</v>
      </c>
      <c r="W96" s="0" t="n">
        <v>3.0568</v>
      </c>
      <c r="X96" s="0" t="n">
        <v>1.5</v>
      </c>
      <c r="Y96" s="0" t="n">
        <v>1.5568</v>
      </c>
      <c r="Z96" s="0" t="n">
        <v>2</v>
      </c>
      <c r="AA96" s="0" t="n">
        <v>3</v>
      </c>
      <c r="AB96" s="4" t="n">
        <f aca="false">I96*AA96*Z96</f>
        <v>4559.04</v>
      </c>
      <c r="AC96" s="4" t="n">
        <f aca="false">AB96*1.18</f>
        <v>5379.6672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586</v>
      </c>
    </row>
    <row r="2" customFormat="false" ht="15" hidden="false" customHeight="false" outlineLevel="0" collapsed="false">
      <c r="H2" s="0" t="s">
        <v>587</v>
      </c>
    </row>
    <row r="3" customFormat="false" ht="23.85" hidden="false" customHeight="false" outlineLevel="0" collapsed="false">
      <c r="A3" s="1" t="s">
        <v>588</v>
      </c>
      <c r="B3" s="1" t="s">
        <v>589</v>
      </c>
      <c r="C3" s="1" t="s">
        <v>590</v>
      </c>
      <c r="D3" s="1" t="s">
        <v>591</v>
      </c>
      <c r="E3" s="1" t="s">
        <v>592</v>
      </c>
      <c r="F3" s="1" t="s">
        <v>593</v>
      </c>
      <c r="G3" s="1" t="s">
        <v>594</v>
      </c>
      <c r="H3" s="1" t="s">
        <v>595</v>
      </c>
    </row>
    <row r="4" customFormat="false" ht="15" hidden="false" customHeight="false" outlineLevel="0" collapsed="false">
      <c r="A4" s="0" t="n">
        <v>1</v>
      </c>
      <c r="B4" s="6" t="n">
        <v>46024</v>
      </c>
      <c r="C4" s="3" t="s">
        <v>29</v>
      </c>
      <c r="D4" s="3" t="s">
        <v>596</v>
      </c>
      <c r="E4" s="0" t="n">
        <v>162</v>
      </c>
      <c r="F4" s="0" t="n">
        <v>559.2</v>
      </c>
      <c r="G4" s="0" t="n">
        <v>839.2</v>
      </c>
      <c r="H4" s="4" t="n">
        <f aca="false">G4*2.05*1.18</f>
        <v>2030.0248</v>
      </c>
    </row>
    <row r="5" customFormat="false" ht="15" hidden="false" customHeight="false" outlineLevel="0" collapsed="false">
      <c r="A5" s="0" t="n">
        <v>2</v>
      </c>
      <c r="B5" s="6" t="n">
        <v>46024</v>
      </c>
      <c r="C5" s="3" t="s">
        <v>29</v>
      </c>
      <c r="D5" s="3" t="s">
        <v>597</v>
      </c>
      <c r="E5" s="0" t="n">
        <v>162</v>
      </c>
      <c r="F5" s="0" t="n">
        <v>559.2</v>
      </c>
      <c r="G5" s="0" t="n">
        <v>839.2</v>
      </c>
      <c r="H5" s="4" t="n">
        <f aca="false">G5*3.1*1.18</f>
        <v>3069.7936</v>
      </c>
    </row>
    <row r="6" customFormat="false" ht="15" hidden="false" customHeight="false" outlineLevel="0" collapsed="false">
      <c r="A6" s="0" t="n">
        <v>3</v>
      </c>
      <c r="B6" s="6" t="n">
        <v>46024</v>
      </c>
      <c r="C6" s="3" t="s">
        <v>29</v>
      </c>
      <c r="D6" s="3" t="s">
        <v>598</v>
      </c>
      <c r="E6" s="0" t="n">
        <v>162</v>
      </c>
      <c r="F6" s="0" t="n">
        <v>559.2</v>
      </c>
      <c r="G6" s="0" t="n">
        <v>839.2</v>
      </c>
      <c r="H6" s="4" t="n">
        <f aca="false">G6*3*1.18</f>
        <v>2970.768</v>
      </c>
    </row>
    <row r="7" customFormat="false" ht="15" hidden="false" customHeight="false" outlineLevel="0" collapsed="false">
      <c r="A7" s="0" t="n">
        <v>4</v>
      </c>
      <c r="B7" s="6" t="n">
        <v>46025</v>
      </c>
      <c r="C7" s="3" t="s">
        <v>41</v>
      </c>
      <c r="D7" s="3" t="s">
        <v>596</v>
      </c>
      <c r="E7" s="0" t="n">
        <v>8</v>
      </c>
      <c r="F7" s="0" t="n">
        <v>1820.9</v>
      </c>
      <c r="G7" s="0" t="n">
        <v>1821.2</v>
      </c>
      <c r="H7" s="4" t="n">
        <f aca="false">G7*2.05*1.18</f>
        <v>4405.4828</v>
      </c>
    </row>
    <row r="8" customFormat="false" ht="15" hidden="false" customHeight="false" outlineLevel="0" collapsed="false">
      <c r="A8" s="0" t="n">
        <v>5</v>
      </c>
      <c r="B8" s="6" t="n">
        <v>46025</v>
      </c>
      <c r="C8" s="3" t="s">
        <v>41</v>
      </c>
      <c r="D8" s="3" t="s">
        <v>597</v>
      </c>
      <c r="E8" s="0" t="n">
        <v>8</v>
      </c>
      <c r="F8" s="0" t="n">
        <v>1820.9</v>
      </c>
      <c r="G8" s="0" t="n">
        <v>1821.2</v>
      </c>
      <c r="H8" s="4" t="n">
        <f aca="false">G8*3.1*1.18</f>
        <v>6661.9496</v>
      </c>
    </row>
    <row r="9" customFormat="false" ht="15" hidden="false" customHeight="false" outlineLevel="0" collapsed="false">
      <c r="A9" s="0" t="n">
        <v>6</v>
      </c>
      <c r="B9" s="6" t="n">
        <v>46025</v>
      </c>
      <c r="C9" s="3" t="s">
        <v>41</v>
      </c>
      <c r="D9" s="3" t="s">
        <v>598</v>
      </c>
      <c r="E9" s="0" t="n">
        <v>8</v>
      </c>
      <c r="F9" s="0" t="n">
        <v>1820.9</v>
      </c>
      <c r="G9" s="0" t="n">
        <v>1821.2</v>
      </c>
      <c r="H9" s="4" t="n">
        <f aca="false">G9*3*1.18</f>
        <v>6447.048</v>
      </c>
    </row>
    <row r="10" customFormat="false" ht="15" hidden="false" customHeight="false" outlineLevel="0" collapsed="false">
      <c r="A10" s="0" t="n">
        <v>7</v>
      </c>
      <c r="B10" s="6" t="n">
        <v>46025</v>
      </c>
      <c r="C10" s="3" t="s">
        <v>29</v>
      </c>
      <c r="D10" s="3" t="s">
        <v>596</v>
      </c>
      <c r="E10" s="0" t="n">
        <v>598</v>
      </c>
      <c r="F10" s="0" t="n">
        <v>5126.9</v>
      </c>
      <c r="G10" s="0" t="n">
        <v>5682.9</v>
      </c>
      <c r="H10" s="4" t="n">
        <f aca="false">G10*2.05*1.18</f>
        <v>13746.9351</v>
      </c>
    </row>
    <row r="11" customFormat="false" ht="15" hidden="false" customHeight="false" outlineLevel="0" collapsed="false">
      <c r="A11" s="0" t="n">
        <v>8</v>
      </c>
      <c r="B11" s="6" t="n">
        <v>46025</v>
      </c>
      <c r="C11" s="3" t="s">
        <v>29</v>
      </c>
      <c r="D11" s="3" t="s">
        <v>597</v>
      </c>
      <c r="E11" s="0" t="n">
        <v>598</v>
      </c>
      <c r="F11" s="0" t="n">
        <v>5126.9</v>
      </c>
      <c r="G11" s="0" t="n">
        <v>5682.9</v>
      </c>
      <c r="H11" s="4" t="n">
        <f aca="false">G11*3.1*1.18</f>
        <v>20788.0482</v>
      </c>
    </row>
    <row r="12" customFormat="false" ht="15" hidden="false" customHeight="false" outlineLevel="0" collapsed="false">
      <c r="A12" s="0" t="n">
        <v>9</v>
      </c>
      <c r="B12" s="6" t="n">
        <v>46025</v>
      </c>
      <c r="C12" s="3" t="s">
        <v>29</v>
      </c>
      <c r="D12" s="3" t="s">
        <v>598</v>
      </c>
      <c r="E12" s="0" t="n">
        <v>598</v>
      </c>
      <c r="F12" s="0" t="n">
        <v>5126.9</v>
      </c>
      <c r="G12" s="0" t="n">
        <v>5682.9</v>
      </c>
      <c r="H12" s="4" t="n">
        <f aca="false">G12*3*1.18</f>
        <v>20117.466</v>
      </c>
    </row>
    <row r="13" customFormat="false" ht="15" hidden="false" customHeight="false" outlineLevel="0" collapsed="false">
      <c r="A13" s="0" t="n">
        <v>10</v>
      </c>
      <c r="B13" s="6" t="n">
        <v>46026</v>
      </c>
      <c r="C13" s="3" t="s">
        <v>41</v>
      </c>
      <c r="D13" s="3" t="s">
        <v>596</v>
      </c>
      <c r="E13" s="0" t="n">
        <v>54</v>
      </c>
      <c r="F13" s="0" t="n">
        <v>636.7</v>
      </c>
      <c r="G13" s="0" t="n">
        <v>955.2</v>
      </c>
      <c r="H13" s="4" t="n">
        <f aca="false">G13*2.05*1.18</f>
        <v>2310.6288</v>
      </c>
    </row>
    <row r="14" customFormat="false" ht="15" hidden="false" customHeight="false" outlineLevel="0" collapsed="false">
      <c r="A14" s="0" t="n">
        <v>11</v>
      </c>
      <c r="B14" s="6" t="n">
        <v>46026</v>
      </c>
      <c r="C14" s="3" t="s">
        <v>41</v>
      </c>
      <c r="D14" s="3" t="s">
        <v>597</v>
      </c>
      <c r="E14" s="0" t="n">
        <v>54</v>
      </c>
      <c r="F14" s="0" t="n">
        <v>636.7</v>
      </c>
      <c r="G14" s="0" t="n">
        <v>955.2</v>
      </c>
      <c r="H14" s="4" t="n">
        <f aca="false">G14*3.1*1.18</f>
        <v>3494.1216</v>
      </c>
    </row>
    <row r="15" customFormat="false" ht="15" hidden="false" customHeight="false" outlineLevel="0" collapsed="false">
      <c r="A15" s="0" t="n">
        <v>12</v>
      </c>
      <c r="B15" s="6" t="n">
        <v>46026</v>
      </c>
      <c r="C15" s="3" t="s">
        <v>41</v>
      </c>
      <c r="D15" s="3" t="s">
        <v>598</v>
      </c>
      <c r="E15" s="0" t="n">
        <v>54</v>
      </c>
      <c r="F15" s="0" t="n">
        <v>636.7</v>
      </c>
      <c r="G15" s="0" t="n">
        <v>955.2</v>
      </c>
      <c r="H15" s="4" t="n">
        <f aca="false">G15*3*1.18</f>
        <v>3381.408</v>
      </c>
    </row>
    <row r="16" customFormat="false" ht="15" hidden="false" customHeight="false" outlineLevel="0" collapsed="false">
      <c r="A16" s="0" t="n">
        <v>13</v>
      </c>
      <c r="B16" s="6" t="n">
        <v>46026</v>
      </c>
      <c r="C16" s="3" t="s">
        <v>29</v>
      </c>
      <c r="D16" s="3" t="s">
        <v>596</v>
      </c>
      <c r="E16" s="0" t="n">
        <v>219</v>
      </c>
      <c r="F16" s="0" t="n">
        <v>2863</v>
      </c>
      <c r="G16" s="0" t="n">
        <v>3149.8</v>
      </c>
      <c r="H16" s="4" t="n">
        <f aca="false">G16*2.05*1.18</f>
        <v>7619.3662</v>
      </c>
    </row>
    <row r="17" customFormat="false" ht="15" hidden="false" customHeight="false" outlineLevel="0" collapsed="false">
      <c r="A17" s="0" t="n">
        <v>14</v>
      </c>
      <c r="B17" s="6" t="n">
        <v>46026</v>
      </c>
      <c r="C17" s="3" t="s">
        <v>29</v>
      </c>
      <c r="D17" s="3" t="s">
        <v>597</v>
      </c>
      <c r="E17" s="0" t="n">
        <v>219</v>
      </c>
      <c r="F17" s="0" t="n">
        <v>2863</v>
      </c>
      <c r="G17" s="0" t="n">
        <v>3149.8</v>
      </c>
      <c r="H17" s="4" t="n">
        <f aca="false">G17*3.1*1.18</f>
        <v>11521.9684</v>
      </c>
    </row>
    <row r="18" customFormat="false" ht="15" hidden="false" customHeight="false" outlineLevel="0" collapsed="false">
      <c r="A18" s="0" t="n">
        <v>15</v>
      </c>
      <c r="B18" s="6" t="n">
        <v>46026</v>
      </c>
      <c r="C18" s="3" t="s">
        <v>29</v>
      </c>
      <c r="D18" s="3" t="s">
        <v>598</v>
      </c>
      <c r="E18" s="0" t="n">
        <v>219</v>
      </c>
      <c r="F18" s="0" t="n">
        <v>2863</v>
      </c>
      <c r="G18" s="0" t="n">
        <v>3149.8</v>
      </c>
      <c r="H18" s="4" t="n">
        <f aca="false">G18*3*1.18</f>
        <v>11150.292</v>
      </c>
    </row>
    <row r="19" customFormat="false" ht="15" hidden="false" customHeight="false" outlineLevel="0" collapsed="false">
      <c r="A19" s="0" t="n">
        <v>16</v>
      </c>
      <c r="B19" s="6" t="n">
        <v>46027</v>
      </c>
      <c r="C19" s="3" t="s">
        <v>41</v>
      </c>
      <c r="D19" s="3" t="s">
        <v>596</v>
      </c>
      <c r="E19" s="0" t="n">
        <v>404</v>
      </c>
      <c r="F19" s="0" t="n">
        <v>3714.2</v>
      </c>
      <c r="G19" s="0" t="n">
        <v>3869.4</v>
      </c>
      <c r="H19" s="4" t="n">
        <f aca="false">G19*2.05*1.18</f>
        <v>9360.0786</v>
      </c>
    </row>
    <row r="20" customFormat="false" ht="15" hidden="false" customHeight="false" outlineLevel="0" collapsed="false">
      <c r="A20" s="0" t="n">
        <v>17</v>
      </c>
      <c r="B20" s="6" t="n">
        <v>46027</v>
      </c>
      <c r="C20" s="3" t="s">
        <v>41</v>
      </c>
      <c r="D20" s="3" t="s">
        <v>597</v>
      </c>
      <c r="E20" s="0" t="n">
        <v>404</v>
      </c>
      <c r="F20" s="0" t="n">
        <v>3714.2</v>
      </c>
      <c r="G20" s="0" t="n">
        <v>3869.4</v>
      </c>
      <c r="H20" s="4" t="n">
        <f aca="false">G20*3.1*1.18</f>
        <v>14154.2652</v>
      </c>
    </row>
    <row r="21" customFormat="false" ht="15" hidden="false" customHeight="false" outlineLevel="0" collapsed="false">
      <c r="A21" s="0" t="n">
        <v>18</v>
      </c>
      <c r="B21" s="6" t="n">
        <v>46027</v>
      </c>
      <c r="C21" s="3" t="s">
        <v>41</v>
      </c>
      <c r="D21" s="3" t="s">
        <v>598</v>
      </c>
      <c r="E21" s="0" t="n">
        <v>404</v>
      </c>
      <c r="F21" s="0" t="n">
        <v>3714.2</v>
      </c>
      <c r="G21" s="0" t="n">
        <v>3869.4</v>
      </c>
      <c r="H21" s="4" t="n">
        <f aca="false">G21*3*1.18</f>
        <v>13697.676</v>
      </c>
    </row>
    <row r="22" customFormat="false" ht="15" hidden="false" customHeight="false" outlineLevel="0" collapsed="false">
      <c r="A22" s="0" t="n">
        <v>19</v>
      </c>
      <c r="B22" s="6" t="n">
        <v>46027</v>
      </c>
      <c r="C22" s="3" t="s">
        <v>29</v>
      </c>
      <c r="D22" s="3" t="s">
        <v>596</v>
      </c>
      <c r="E22" s="0" t="n">
        <v>97</v>
      </c>
      <c r="F22" s="0" t="n">
        <v>2354.5</v>
      </c>
      <c r="G22" s="0" t="n">
        <v>3061</v>
      </c>
      <c r="H22" s="4" t="n">
        <f aca="false">G22*2.05*1.18</f>
        <v>7404.559</v>
      </c>
    </row>
    <row r="23" customFormat="false" ht="15" hidden="false" customHeight="false" outlineLevel="0" collapsed="false">
      <c r="A23" s="0" t="n">
        <v>20</v>
      </c>
      <c r="B23" s="6" t="n">
        <v>46027</v>
      </c>
      <c r="C23" s="3" t="s">
        <v>29</v>
      </c>
      <c r="D23" s="3" t="s">
        <v>597</v>
      </c>
      <c r="E23" s="0" t="n">
        <v>97</v>
      </c>
      <c r="F23" s="0" t="n">
        <v>2354.5</v>
      </c>
      <c r="G23" s="0" t="n">
        <v>3061</v>
      </c>
      <c r="H23" s="4" t="n">
        <f aca="false">G23*3.1*1.18</f>
        <v>11197.138</v>
      </c>
    </row>
    <row r="24" customFormat="false" ht="15" hidden="false" customHeight="false" outlineLevel="0" collapsed="false">
      <c r="A24" s="0" t="n">
        <v>21</v>
      </c>
      <c r="B24" s="6" t="n">
        <v>46027</v>
      </c>
      <c r="C24" s="3" t="s">
        <v>29</v>
      </c>
      <c r="D24" s="3" t="s">
        <v>598</v>
      </c>
      <c r="E24" s="0" t="n">
        <v>97</v>
      </c>
      <c r="F24" s="0" t="n">
        <v>2354.5</v>
      </c>
      <c r="G24" s="0" t="n">
        <v>3061</v>
      </c>
      <c r="H24" s="4" t="n">
        <f aca="false">G24*3*1.18</f>
        <v>10835.94</v>
      </c>
    </row>
    <row r="25" customFormat="false" ht="15" hidden="false" customHeight="false" outlineLevel="0" collapsed="false">
      <c r="A25" s="0" t="n">
        <v>22</v>
      </c>
      <c r="B25" s="6" t="n">
        <v>46028</v>
      </c>
      <c r="C25" s="3" t="s">
        <v>41</v>
      </c>
      <c r="D25" s="3" t="s">
        <v>596</v>
      </c>
      <c r="E25" s="0" t="n">
        <v>212</v>
      </c>
      <c r="F25" s="0" t="n">
        <v>3961.4</v>
      </c>
      <c r="G25" s="0" t="n">
        <v>5282.4</v>
      </c>
      <c r="H25" s="4" t="n">
        <f aca="false">G25*2.05*1.18</f>
        <v>12778.1256</v>
      </c>
    </row>
    <row r="26" customFormat="false" ht="15" hidden="false" customHeight="false" outlineLevel="0" collapsed="false">
      <c r="A26" s="0" t="n">
        <v>23</v>
      </c>
      <c r="B26" s="6" t="n">
        <v>46028</v>
      </c>
      <c r="C26" s="3" t="s">
        <v>41</v>
      </c>
      <c r="D26" s="3" t="s">
        <v>597</v>
      </c>
      <c r="E26" s="0" t="n">
        <v>212</v>
      </c>
      <c r="F26" s="0" t="n">
        <v>3961.4</v>
      </c>
      <c r="G26" s="0" t="n">
        <v>5282.4</v>
      </c>
      <c r="H26" s="4" t="n">
        <f aca="false">G26*3.1*1.18</f>
        <v>19323.0192</v>
      </c>
    </row>
    <row r="27" customFormat="false" ht="15" hidden="false" customHeight="false" outlineLevel="0" collapsed="false">
      <c r="A27" s="0" t="n">
        <v>24</v>
      </c>
      <c r="B27" s="6" t="n">
        <v>46028</v>
      </c>
      <c r="C27" s="3" t="s">
        <v>41</v>
      </c>
      <c r="D27" s="3" t="s">
        <v>598</v>
      </c>
      <c r="E27" s="0" t="n">
        <v>212</v>
      </c>
      <c r="F27" s="0" t="n">
        <v>3961.4</v>
      </c>
      <c r="G27" s="0" t="n">
        <v>5282.4</v>
      </c>
      <c r="H27" s="4" t="n">
        <f aca="false">G27*3*1.18</f>
        <v>18699.696</v>
      </c>
    </row>
    <row r="28" customFormat="false" ht="15" hidden="false" customHeight="false" outlineLevel="0" collapsed="false">
      <c r="A28" s="0" t="n">
        <v>25</v>
      </c>
      <c r="B28" s="6" t="n">
        <v>46028</v>
      </c>
      <c r="C28" s="3" t="s">
        <v>29</v>
      </c>
      <c r="D28" s="3" t="s">
        <v>596</v>
      </c>
      <c r="E28" s="0" t="n">
        <v>98</v>
      </c>
      <c r="F28" s="0" t="n">
        <v>887.1</v>
      </c>
      <c r="G28" s="0" t="n">
        <v>887.5</v>
      </c>
      <c r="H28" s="4" t="n">
        <f aca="false">G28*2.05*1.18</f>
        <v>2146.8625</v>
      </c>
    </row>
    <row r="29" customFormat="false" ht="15" hidden="false" customHeight="false" outlineLevel="0" collapsed="false">
      <c r="A29" s="0" t="n">
        <v>26</v>
      </c>
      <c r="B29" s="6" t="n">
        <v>46028</v>
      </c>
      <c r="C29" s="3" t="s">
        <v>29</v>
      </c>
      <c r="D29" s="3" t="s">
        <v>597</v>
      </c>
      <c r="E29" s="0" t="n">
        <v>98</v>
      </c>
      <c r="F29" s="0" t="n">
        <v>887.1</v>
      </c>
      <c r="G29" s="0" t="n">
        <v>887.5</v>
      </c>
      <c r="H29" s="4" t="n">
        <f aca="false">G29*3.1*1.18</f>
        <v>3246.475</v>
      </c>
    </row>
    <row r="30" customFormat="false" ht="15" hidden="false" customHeight="false" outlineLevel="0" collapsed="false">
      <c r="A30" s="0" t="n">
        <v>27</v>
      </c>
      <c r="B30" s="6" t="n">
        <v>46028</v>
      </c>
      <c r="C30" s="3" t="s">
        <v>29</v>
      </c>
      <c r="D30" s="3" t="s">
        <v>598</v>
      </c>
      <c r="E30" s="0" t="n">
        <v>98</v>
      </c>
      <c r="F30" s="0" t="n">
        <v>887.1</v>
      </c>
      <c r="G30" s="0" t="n">
        <v>887.5</v>
      </c>
      <c r="H30" s="4" t="n">
        <f aca="false">G30*3*1.18</f>
        <v>3141.75</v>
      </c>
    </row>
    <row r="31" customFormat="false" ht="15" hidden="false" customHeight="false" outlineLevel="0" collapsed="false">
      <c r="A31" s="0" t="n">
        <v>28</v>
      </c>
      <c r="B31" s="6" t="n">
        <v>46029</v>
      </c>
      <c r="C31" s="3" t="s">
        <v>41</v>
      </c>
      <c r="D31" s="3" t="s">
        <v>596</v>
      </c>
      <c r="E31" s="0" t="n">
        <v>348</v>
      </c>
      <c r="F31" s="0" t="n">
        <v>2640.3</v>
      </c>
      <c r="G31" s="0" t="n">
        <v>3050.3</v>
      </c>
      <c r="H31" s="4" t="n">
        <f aca="false">G31*2.05*1.18</f>
        <v>7378.6757</v>
      </c>
    </row>
    <row r="32" customFormat="false" ht="15" hidden="false" customHeight="false" outlineLevel="0" collapsed="false">
      <c r="A32" s="0" t="n">
        <v>29</v>
      </c>
      <c r="B32" s="6" t="n">
        <v>46029</v>
      </c>
      <c r="C32" s="3" t="s">
        <v>41</v>
      </c>
      <c r="D32" s="3" t="s">
        <v>597</v>
      </c>
      <c r="E32" s="0" t="n">
        <v>348</v>
      </c>
      <c r="F32" s="0" t="n">
        <v>2640.3</v>
      </c>
      <c r="G32" s="0" t="n">
        <v>3050.3</v>
      </c>
      <c r="H32" s="4" t="n">
        <f aca="false">G32*3.1*1.18</f>
        <v>11157.9974</v>
      </c>
    </row>
    <row r="33" customFormat="false" ht="15" hidden="false" customHeight="false" outlineLevel="0" collapsed="false">
      <c r="A33" s="0" t="n">
        <v>30</v>
      </c>
      <c r="B33" s="6" t="n">
        <v>46029</v>
      </c>
      <c r="C33" s="3" t="s">
        <v>41</v>
      </c>
      <c r="D33" s="3" t="s">
        <v>598</v>
      </c>
      <c r="E33" s="0" t="n">
        <v>348</v>
      </c>
      <c r="F33" s="0" t="n">
        <v>2640.3</v>
      </c>
      <c r="G33" s="0" t="n">
        <v>3050.3</v>
      </c>
      <c r="H33" s="4" t="n">
        <f aca="false">G33*3*1.18</f>
        <v>10798.062</v>
      </c>
    </row>
    <row r="34" customFormat="false" ht="15" hidden="false" customHeight="false" outlineLevel="0" collapsed="false">
      <c r="A34" s="0" t="n">
        <v>31</v>
      </c>
      <c r="B34" s="6" t="n">
        <v>46029</v>
      </c>
      <c r="C34" s="3" t="s">
        <v>29</v>
      </c>
      <c r="D34" s="3" t="s">
        <v>596</v>
      </c>
      <c r="E34" s="0" t="n">
        <v>191</v>
      </c>
      <c r="F34" s="0" t="n">
        <v>2734.6</v>
      </c>
      <c r="G34" s="0" t="n">
        <v>2734.9</v>
      </c>
      <c r="H34" s="4" t="n">
        <f aca="false">G34*2.05*1.18</f>
        <v>6615.7231</v>
      </c>
    </row>
    <row r="35" customFormat="false" ht="15" hidden="false" customHeight="false" outlineLevel="0" collapsed="false">
      <c r="A35" s="0" t="n">
        <v>32</v>
      </c>
      <c r="B35" s="6" t="n">
        <v>46029</v>
      </c>
      <c r="C35" s="3" t="s">
        <v>29</v>
      </c>
      <c r="D35" s="3" t="s">
        <v>597</v>
      </c>
      <c r="E35" s="0" t="n">
        <v>191</v>
      </c>
      <c r="F35" s="0" t="n">
        <v>2734.6</v>
      </c>
      <c r="G35" s="0" t="n">
        <v>2734.9</v>
      </c>
      <c r="H35" s="4" t="n">
        <f aca="false">G35*3.1*1.18</f>
        <v>10004.2642</v>
      </c>
    </row>
    <row r="36" customFormat="false" ht="15" hidden="false" customHeight="false" outlineLevel="0" collapsed="false">
      <c r="A36" s="0" t="n">
        <v>33</v>
      </c>
      <c r="B36" s="6" t="n">
        <v>46029</v>
      </c>
      <c r="C36" s="3" t="s">
        <v>29</v>
      </c>
      <c r="D36" s="3" t="s">
        <v>598</v>
      </c>
      <c r="E36" s="0" t="n">
        <v>191</v>
      </c>
      <c r="F36" s="0" t="n">
        <v>2734.6</v>
      </c>
      <c r="G36" s="0" t="n">
        <v>2734.9</v>
      </c>
      <c r="H36" s="4" t="n">
        <f aca="false">G36*3*1.18</f>
        <v>9681.546</v>
      </c>
    </row>
    <row r="37" customFormat="false" ht="15" hidden="false" customHeight="false" outlineLevel="0" collapsed="false">
      <c r="A37" s="0" t="n">
        <v>34</v>
      </c>
      <c r="B37" s="6" t="n">
        <v>46030</v>
      </c>
      <c r="C37" s="3" t="s">
        <v>41</v>
      </c>
      <c r="D37" s="3" t="s">
        <v>596</v>
      </c>
      <c r="E37" s="0" t="n">
        <v>357</v>
      </c>
      <c r="F37" s="0" t="n">
        <v>6498.3</v>
      </c>
      <c r="G37" s="0" t="n">
        <v>6752.1</v>
      </c>
      <c r="H37" s="4" t="n">
        <f aca="false">G37*2.05*1.18</f>
        <v>16333.3299</v>
      </c>
    </row>
    <row r="38" customFormat="false" ht="15" hidden="false" customHeight="false" outlineLevel="0" collapsed="false">
      <c r="A38" s="0" t="n">
        <v>35</v>
      </c>
      <c r="B38" s="6" t="n">
        <v>46030</v>
      </c>
      <c r="C38" s="3" t="s">
        <v>41</v>
      </c>
      <c r="D38" s="3" t="s">
        <v>597</v>
      </c>
      <c r="E38" s="0" t="n">
        <v>357</v>
      </c>
      <c r="F38" s="0" t="n">
        <v>6498.3</v>
      </c>
      <c r="G38" s="0" t="n">
        <v>6752.1</v>
      </c>
      <c r="H38" s="4" t="n">
        <f aca="false">G38*3.1*1.18</f>
        <v>24699.1818</v>
      </c>
    </row>
    <row r="39" customFormat="false" ht="15" hidden="false" customHeight="false" outlineLevel="0" collapsed="false">
      <c r="A39" s="0" t="n">
        <v>36</v>
      </c>
      <c r="B39" s="6" t="n">
        <v>46030</v>
      </c>
      <c r="C39" s="3" t="s">
        <v>41</v>
      </c>
      <c r="D39" s="3" t="s">
        <v>598</v>
      </c>
      <c r="E39" s="0" t="n">
        <v>357</v>
      </c>
      <c r="F39" s="0" t="n">
        <v>6498.3</v>
      </c>
      <c r="G39" s="0" t="n">
        <v>6752.1</v>
      </c>
      <c r="H39" s="4" t="n">
        <f aca="false">G39*3*1.18</f>
        <v>23902.434</v>
      </c>
    </row>
    <row r="40" customFormat="false" ht="15" hidden="false" customHeight="false" outlineLevel="0" collapsed="false">
      <c r="A40" s="0" t="n">
        <v>37</v>
      </c>
      <c r="B40" s="6" t="n">
        <v>46030</v>
      </c>
      <c r="C40" s="3" t="s">
        <v>29</v>
      </c>
      <c r="D40" s="3" t="s">
        <v>596</v>
      </c>
      <c r="E40" s="0" t="n">
        <v>179</v>
      </c>
      <c r="F40" s="0" t="n">
        <v>3527.1</v>
      </c>
      <c r="G40" s="0" t="n">
        <v>4213.4</v>
      </c>
      <c r="H40" s="4" t="n">
        <f aca="false">G40*2.05*1.18</f>
        <v>10192.2146</v>
      </c>
    </row>
    <row r="41" customFormat="false" ht="15" hidden="false" customHeight="false" outlineLevel="0" collapsed="false">
      <c r="A41" s="0" t="n">
        <v>38</v>
      </c>
      <c r="B41" s="6" t="n">
        <v>46030</v>
      </c>
      <c r="C41" s="3" t="s">
        <v>29</v>
      </c>
      <c r="D41" s="3" t="s">
        <v>597</v>
      </c>
      <c r="E41" s="0" t="n">
        <v>179</v>
      </c>
      <c r="F41" s="0" t="n">
        <v>3527.1</v>
      </c>
      <c r="G41" s="0" t="n">
        <v>4213.4</v>
      </c>
      <c r="H41" s="4" t="n">
        <f aca="false">G41*3.1*1.18</f>
        <v>15412.6172</v>
      </c>
    </row>
    <row r="42" customFormat="false" ht="15" hidden="false" customHeight="false" outlineLevel="0" collapsed="false">
      <c r="A42" s="0" t="n">
        <v>39</v>
      </c>
      <c r="B42" s="6" t="n">
        <v>46030</v>
      </c>
      <c r="C42" s="3" t="s">
        <v>29</v>
      </c>
      <c r="D42" s="3" t="s">
        <v>598</v>
      </c>
      <c r="E42" s="0" t="n">
        <v>179</v>
      </c>
      <c r="F42" s="0" t="n">
        <v>3527.1</v>
      </c>
      <c r="G42" s="0" t="n">
        <v>4213.4</v>
      </c>
      <c r="H42" s="4" t="n">
        <f aca="false">G42*3*1.18</f>
        <v>14915.436</v>
      </c>
    </row>
    <row r="43" customFormat="false" ht="15" hidden="false" customHeight="false" outlineLevel="0" collapsed="false">
      <c r="A43" s="0" t="n">
        <v>40</v>
      </c>
      <c r="B43" s="6" t="n">
        <v>46032</v>
      </c>
      <c r="C43" s="3" t="s">
        <v>41</v>
      </c>
      <c r="D43" s="3" t="s">
        <v>596</v>
      </c>
      <c r="E43" s="0" t="n">
        <v>397</v>
      </c>
      <c r="F43" s="0" t="n">
        <v>6110.9</v>
      </c>
      <c r="G43" s="0" t="n">
        <v>7818.1</v>
      </c>
      <c r="H43" s="4" t="n">
        <f aca="false">G43*2.05*1.18</f>
        <v>18911.9839</v>
      </c>
    </row>
    <row r="44" customFormat="false" ht="15" hidden="false" customHeight="false" outlineLevel="0" collapsed="false">
      <c r="A44" s="0" t="n">
        <v>41</v>
      </c>
      <c r="B44" s="6" t="n">
        <v>46032</v>
      </c>
      <c r="C44" s="3" t="s">
        <v>41</v>
      </c>
      <c r="D44" s="3" t="s">
        <v>597</v>
      </c>
      <c r="E44" s="0" t="n">
        <v>397</v>
      </c>
      <c r="F44" s="0" t="n">
        <v>6110.9</v>
      </c>
      <c r="G44" s="0" t="n">
        <v>7818.1</v>
      </c>
      <c r="H44" s="4" t="n">
        <f aca="false">G44*3.1*1.18</f>
        <v>28598.6098</v>
      </c>
    </row>
    <row r="45" customFormat="false" ht="15" hidden="false" customHeight="false" outlineLevel="0" collapsed="false">
      <c r="A45" s="0" t="n">
        <v>42</v>
      </c>
      <c r="B45" s="6" t="n">
        <v>46032</v>
      </c>
      <c r="C45" s="3" t="s">
        <v>41</v>
      </c>
      <c r="D45" s="3" t="s">
        <v>598</v>
      </c>
      <c r="E45" s="0" t="n">
        <v>397</v>
      </c>
      <c r="F45" s="0" t="n">
        <v>6110.9</v>
      </c>
      <c r="G45" s="0" t="n">
        <v>7818.1</v>
      </c>
      <c r="H45" s="4" t="n">
        <f aca="false">G45*3*1.18</f>
        <v>27676.074</v>
      </c>
    </row>
    <row r="46" customFormat="false" ht="15" hidden="false" customHeight="false" outlineLevel="0" collapsed="false">
      <c r="D46" s="7" t="s">
        <v>599</v>
      </c>
      <c r="H46" s="8" t="n">
        <f aca="false">SUM(H4:H45)</f>
        <v>481979.0358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5" t="s">
        <v>598</v>
      </c>
    </row>
    <row r="3" customFormat="false" ht="23.85" hidden="false" customHeight="false" outlineLevel="0" collapsed="false">
      <c r="A3" s="1" t="s">
        <v>0</v>
      </c>
      <c r="B3" s="1" t="s">
        <v>1</v>
      </c>
      <c r="C3" s="1" t="s">
        <v>600</v>
      </c>
      <c r="D3" s="1" t="s">
        <v>6</v>
      </c>
      <c r="E3" s="1" t="s">
        <v>8</v>
      </c>
      <c r="F3" s="1" t="s">
        <v>601</v>
      </c>
      <c r="G3" s="1" t="s">
        <v>602</v>
      </c>
      <c r="H3" s="1" t="s">
        <v>16</v>
      </c>
      <c r="I3" s="1" t="s">
        <v>603</v>
      </c>
      <c r="J3" s="1" t="s">
        <v>604</v>
      </c>
      <c r="K3" s="1" t="s">
        <v>26</v>
      </c>
      <c r="L3" s="1" t="s">
        <v>605</v>
      </c>
      <c r="M3" s="1" t="s">
        <v>606</v>
      </c>
      <c r="N3" s="1" t="s">
        <v>607</v>
      </c>
    </row>
    <row r="4" customFormat="false" ht="15" hidden="false" customHeight="false" outlineLevel="0" collapsed="false">
      <c r="A4" s="0" t="s">
        <v>41</v>
      </c>
      <c r="B4" s="6" t="n">
        <v>46025</v>
      </c>
      <c r="C4" s="3" t="s">
        <v>42</v>
      </c>
      <c r="D4" s="0" t="n">
        <v>8</v>
      </c>
      <c r="E4" s="0" t="n">
        <v>1821.24</v>
      </c>
      <c r="F4" s="6" t="n">
        <v>46024</v>
      </c>
      <c r="G4" s="3" t="s">
        <v>46</v>
      </c>
      <c r="H4" s="6" t="n">
        <v>46025</v>
      </c>
      <c r="I4" s="3" t="s">
        <v>48</v>
      </c>
      <c r="J4" s="3" t="s">
        <v>40</v>
      </c>
      <c r="K4" s="0" t="n">
        <v>3</v>
      </c>
      <c r="L4" s="0" t="n">
        <v>3</v>
      </c>
      <c r="M4" s="4" t="n">
        <f aca="false">E4*K4*L4</f>
        <v>16391.16</v>
      </c>
      <c r="N4" s="4" t="n">
        <f aca="false">M4*1.18</f>
        <v>19341.5688</v>
      </c>
    </row>
    <row r="5" customFormat="false" ht="15" hidden="false" customHeight="false" outlineLevel="0" collapsed="false">
      <c r="A5" s="0" t="s">
        <v>29</v>
      </c>
      <c r="B5" s="6" t="n">
        <v>46025</v>
      </c>
      <c r="C5" s="3" t="s">
        <v>50</v>
      </c>
      <c r="D5" s="0" t="n">
        <v>203</v>
      </c>
      <c r="E5" s="0" t="n">
        <v>1709.13</v>
      </c>
      <c r="F5" s="6" t="n">
        <v>46025</v>
      </c>
      <c r="G5" s="3" t="s">
        <v>54</v>
      </c>
      <c r="H5" s="6" t="n">
        <v>46025</v>
      </c>
      <c r="I5" s="3" t="s">
        <v>56</v>
      </c>
      <c r="J5" s="3" t="s">
        <v>40</v>
      </c>
      <c r="K5" s="0" t="n">
        <v>3</v>
      </c>
      <c r="L5" s="0" t="n">
        <v>1</v>
      </c>
      <c r="M5" s="4" t="n">
        <f aca="false">E5*K5*L5</f>
        <v>5127.39</v>
      </c>
      <c r="N5" s="4" t="n">
        <f aca="false">M5*1.18</f>
        <v>6050.3202</v>
      </c>
    </row>
    <row r="6" customFormat="false" ht="15" hidden="false" customHeight="false" outlineLevel="0" collapsed="false">
      <c r="A6" s="0" t="s">
        <v>29</v>
      </c>
      <c r="B6" s="6" t="n">
        <v>46025</v>
      </c>
      <c r="C6" s="3" t="s">
        <v>58</v>
      </c>
      <c r="D6" s="0" t="n">
        <v>132</v>
      </c>
      <c r="E6" s="0" t="n">
        <v>904.85</v>
      </c>
      <c r="F6" s="6" t="n">
        <v>46022</v>
      </c>
      <c r="G6" s="3" t="s">
        <v>61</v>
      </c>
      <c r="H6" s="6" t="n">
        <v>46025</v>
      </c>
      <c r="I6" s="3" t="s">
        <v>63</v>
      </c>
      <c r="J6" s="3" t="s">
        <v>40</v>
      </c>
      <c r="K6" s="0" t="n">
        <v>3</v>
      </c>
      <c r="L6" s="0" t="n">
        <v>3</v>
      </c>
      <c r="M6" s="4" t="n">
        <f aca="false">E6*K6*L6</f>
        <v>8143.65</v>
      </c>
      <c r="N6" s="4" t="n">
        <f aca="false">M6*1.18</f>
        <v>9609.507</v>
      </c>
    </row>
    <row r="7" customFormat="false" ht="15" hidden="false" customHeight="false" outlineLevel="0" collapsed="false">
      <c r="A7" s="0" t="s">
        <v>29</v>
      </c>
      <c r="B7" s="6" t="n">
        <v>46025</v>
      </c>
      <c r="C7" s="3" t="s">
        <v>72</v>
      </c>
      <c r="D7" s="0" t="n">
        <v>193</v>
      </c>
      <c r="E7" s="0" t="n">
        <v>1932.66</v>
      </c>
      <c r="F7" s="6" t="n">
        <v>46024</v>
      </c>
      <c r="G7" s="3" t="s">
        <v>76</v>
      </c>
      <c r="H7" s="6" t="n">
        <v>46025</v>
      </c>
      <c r="I7" s="3" t="s">
        <v>78</v>
      </c>
      <c r="J7" s="3" t="s">
        <v>80</v>
      </c>
      <c r="K7" s="0" t="n">
        <v>3</v>
      </c>
      <c r="L7" s="0" t="n">
        <v>4</v>
      </c>
      <c r="M7" s="4" t="n">
        <f aca="false">E7*K7*L7</f>
        <v>23191.92</v>
      </c>
      <c r="N7" s="4" t="n">
        <f aca="false">M7*1.18</f>
        <v>27366.4656</v>
      </c>
    </row>
    <row r="8" customFormat="false" ht="15" hidden="false" customHeight="false" outlineLevel="0" collapsed="false">
      <c r="A8" s="0" t="s">
        <v>41</v>
      </c>
      <c r="B8" s="6" t="n">
        <v>46026</v>
      </c>
      <c r="C8" s="3" t="s">
        <v>81</v>
      </c>
      <c r="D8" s="0" t="n">
        <v>54</v>
      </c>
      <c r="E8" s="0" t="n">
        <v>955.21</v>
      </c>
      <c r="F8" s="6" t="n">
        <v>46026</v>
      </c>
      <c r="G8" s="3" t="s">
        <v>84</v>
      </c>
      <c r="H8" s="6" t="n">
        <v>46026</v>
      </c>
      <c r="I8" s="3" t="s">
        <v>86</v>
      </c>
      <c r="J8" s="3" t="s">
        <v>80</v>
      </c>
      <c r="K8" s="0" t="n">
        <v>3</v>
      </c>
      <c r="L8" s="0" t="n">
        <v>1</v>
      </c>
      <c r="M8" s="4" t="n">
        <f aca="false">E8*K8*L8</f>
        <v>2865.63</v>
      </c>
      <c r="N8" s="4" t="n">
        <f aca="false">M8*1.18</f>
        <v>3381.4434</v>
      </c>
    </row>
    <row r="9" customFormat="false" ht="15" hidden="false" customHeight="false" outlineLevel="0" collapsed="false">
      <c r="A9" s="0" t="s">
        <v>29</v>
      </c>
      <c r="B9" s="6" t="n">
        <v>46026</v>
      </c>
      <c r="C9" s="3" t="s">
        <v>96</v>
      </c>
      <c r="D9" s="0" t="n">
        <v>123</v>
      </c>
      <c r="E9" s="0" t="n">
        <v>1560.35</v>
      </c>
      <c r="F9" s="6" t="n">
        <v>46025</v>
      </c>
      <c r="G9" s="3" t="s">
        <v>99</v>
      </c>
      <c r="H9" s="6" t="n">
        <v>46026</v>
      </c>
      <c r="I9" s="3" t="s">
        <v>101</v>
      </c>
      <c r="J9" s="3" t="s">
        <v>40</v>
      </c>
      <c r="K9" s="0" t="n">
        <v>3</v>
      </c>
      <c r="L9" s="0" t="n">
        <v>1</v>
      </c>
      <c r="M9" s="4" t="n">
        <f aca="false">E9*K9*L9</f>
        <v>4681.05</v>
      </c>
      <c r="N9" s="4" t="n">
        <f aca="false">M9*1.18</f>
        <v>5523.639</v>
      </c>
    </row>
    <row r="10" customFormat="false" ht="15" hidden="false" customHeight="false" outlineLevel="0" collapsed="false">
      <c r="A10" s="0" t="s">
        <v>41</v>
      </c>
      <c r="B10" s="6" t="n">
        <v>46027</v>
      </c>
      <c r="C10" s="3" t="s">
        <v>102</v>
      </c>
      <c r="D10" s="0" t="n">
        <v>34</v>
      </c>
      <c r="E10" s="0" t="n">
        <v>1540.57</v>
      </c>
      <c r="F10" s="6" t="n">
        <v>46025</v>
      </c>
      <c r="G10" s="3" t="s">
        <v>105</v>
      </c>
      <c r="H10" s="6" t="n">
        <v>46027</v>
      </c>
      <c r="I10" s="3" t="s">
        <v>107</v>
      </c>
      <c r="J10" s="3" t="s">
        <v>95</v>
      </c>
      <c r="K10" s="0" t="n">
        <v>3</v>
      </c>
      <c r="L10" s="0" t="n">
        <v>3</v>
      </c>
      <c r="M10" s="4" t="n">
        <f aca="false">E10*K10*L10</f>
        <v>13865.13</v>
      </c>
      <c r="N10" s="4" t="n">
        <f aca="false">M10*1.18</f>
        <v>16360.8534</v>
      </c>
    </row>
    <row r="11" customFormat="false" ht="15" hidden="false" customHeight="false" outlineLevel="0" collapsed="false">
      <c r="A11" s="0" t="s">
        <v>41</v>
      </c>
      <c r="B11" s="6" t="n">
        <v>46027</v>
      </c>
      <c r="C11" s="3" t="s">
        <v>108</v>
      </c>
      <c r="D11" s="0" t="n">
        <v>167</v>
      </c>
      <c r="E11" s="0" t="n">
        <v>625.91</v>
      </c>
      <c r="F11" s="6" t="n">
        <v>46026</v>
      </c>
      <c r="G11" s="3" t="s">
        <v>111</v>
      </c>
      <c r="H11" s="6" t="n">
        <v>46027</v>
      </c>
      <c r="I11" s="3" t="s">
        <v>113</v>
      </c>
      <c r="J11" s="3" t="s">
        <v>114</v>
      </c>
      <c r="K11" s="0" t="n">
        <v>5</v>
      </c>
      <c r="L11" s="0" t="n">
        <v>3</v>
      </c>
      <c r="M11" s="4" t="n">
        <f aca="false">E11*K11*L11</f>
        <v>9388.65</v>
      </c>
      <c r="N11" s="4" t="n">
        <f aca="false">M11*1.18</f>
        <v>11078.607</v>
      </c>
    </row>
    <row r="12" customFormat="false" ht="15" hidden="false" customHeight="false" outlineLevel="0" collapsed="false">
      <c r="A12" s="0" t="s">
        <v>41</v>
      </c>
      <c r="B12" s="6" t="n">
        <v>46027</v>
      </c>
      <c r="C12" s="3" t="s">
        <v>115</v>
      </c>
      <c r="D12" s="0" t="n">
        <v>106</v>
      </c>
      <c r="E12" s="0" t="n">
        <v>474.25</v>
      </c>
      <c r="F12" s="6" t="n">
        <v>46024</v>
      </c>
      <c r="G12" s="3" t="s">
        <v>118</v>
      </c>
      <c r="H12" s="6" t="n">
        <v>46027</v>
      </c>
      <c r="I12" s="3" t="s">
        <v>120</v>
      </c>
      <c r="J12" s="3" t="s">
        <v>95</v>
      </c>
      <c r="K12" s="0" t="n">
        <v>3</v>
      </c>
      <c r="L12" s="0" t="n">
        <v>2</v>
      </c>
      <c r="M12" s="4" t="n">
        <f aca="false">E12*K12*L12</f>
        <v>2845.5</v>
      </c>
      <c r="N12" s="4" t="n">
        <f aca="false">M12*1.18</f>
        <v>3357.69</v>
      </c>
    </row>
    <row r="13" customFormat="false" ht="15" hidden="false" customHeight="false" outlineLevel="0" collapsed="false">
      <c r="A13" s="0" t="s">
        <v>41</v>
      </c>
      <c r="B13" s="6" t="n">
        <v>46027</v>
      </c>
      <c r="C13" s="3" t="s">
        <v>122</v>
      </c>
      <c r="D13" s="0" t="n">
        <v>97</v>
      </c>
      <c r="E13" s="0" t="n">
        <v>1228.7</v>
      </c>
      <c r="F13" s="6" t="n">
        <v>46027</v>
      </c>
      <c r="G13" s="3" t="s">
        <v>125</v>
      </c>
      <c r="H13" s="6" t="n">
        <v>46027</v>
      </c>
      <c r="I13" s="3" t="s">
        <v>127</v>
      </c>
      <c r="J13" s="3" t="s">
        <v>80</v>
      </c>
      <c r="K13" s="0" t="n">
        <v>3</v>
      </c>
      <c r="L13" s="0" t="n">
        <v>2</v>
      </c>
      <c r="M13" s="4" t="n">
        <f aca="false">E13*K13*L13</f>
        <v>7372.2</v>
      </c>
      <c r="N13" s="4" t="n">
        <f aca="false">M13*1.18</f>
        <v>8699.196</v>
      </c>
    </row>
    <row r="14" customFormat="false" ht="15" hidden="false" customHeight="false" outlineLevel="0" collapsed="false">
      <c r="A14" s="0" t="s">
        <v>29</v>
      </c>
      <c r="B14" s="6" t="n">
        <v>46027</v>
      </c>
      <c r="C14" s="3" t="s">
        <v>128</v>
      </c>
      <c r="D14" s="0" t="n">
        <v>97</v>
      </c>
      <c r="E14" s="0" t="n">
        <v>3060.96</v>
      </c>
      <c r="F14" s="6" t="n">
        <v>46026</v>
      </c>
      <c r="G14" s="3" t="s">
        <v>131</v>
      </c>
      <c r="H14" s="6" t="n">
        <v>46027</v>
      </c>
      <c r="I14" s="3" t="s">
        <v>133</v>
      </c>
      <c r="J14" s="3" t="s">
        <v>40</v>
      </c>
      <c r="K14" s="0" t="n">
        <v>3</v>
      </c>
      <c r="L14" s="0" t="n">
        <v>1</v>
      </c>
      <c r="M14" s="4" t="n">
        <f aca="false">E14*K14*L14</f>
        <v>9182.88</v>
      </c>
      <c r="N14" s="4" t="n">
        <f aca="false">M14*1.18</f>
        <v>10835.7984</v>
      </c>
    </row>
    <row r="15" customFormat="false" ht="15" hidden="false" customHeight="false" outlineLevel="0" collapsed="false">
      <c r="A15" s="0" t="s">
        <v>41</v>
      </c>
      <c r="B15" s="6" t="n">
        <v>46028</v>
      </c>
      <c r="C15" s="3" t="s">
        <v>140</v>
      </c>
      <c r="D15" s="0" t="n">
        <v>111</v>
      </c>
      <c r="E15" s="0" t="n">
        <v>1320.97</v>
      </c>
      <c r="F15" s="6" t="n">
        <v>46026</v>
      </c>
      <c r="G15" s="3" t="s">
        <v>143</v>
      </c>
      <c r="H15" s="6" t="n">
        <v>46028</v>
      </c>
      <c r="I15" s="3" t="s">
        <v>145</v>
      </c>
      <c r="J15" s="3" t="s">
        <v>40</v>
      </c>
      <c r="K15" s="0" t="n">
        <v>3</v>
      </c>
      <c r="L15" s="0" t="n">
        <v>2</v>
      </c>
      <c r="M15" s="4" t="n">
        <f aca="false">E15*K15*L15</f>
        <v>7925.82</v>
      </c>
      <c r="N15" s="4" t="n">
        <f aca="false">M15*1.18</f>
        <v>9352.4676</v>
      </c>
    </row>
    <row r="16" customFormat="false" ht="15" hidden="false" customHeight="false" outlineLevel="0" collapsed="false">
      <c r="A16" s="0" t="s">
        <v>29</v>
      </c>
      <c r="B16" s="6" t="n">
        <v>46028</v>
      </c>
      <c r="C16" s="3" t="s">
        <v>146</v>
      </c>
      <c r="D16" s="0" t="n">
        <v>98</v>
      </c>
      <c r="E16" s="0" t="n">
        <v>887.53</v>
      </c>
      <c r="F16" s="6" t="n">
        <v>46026</v>
      </c>
      <c r="G16" s="3" t="s">
        <v>149</v>
      </c>
      <c r="H16" s="6" t="n">
        <v>46028</v>
      </c>
      <c r="I16" s="3" t="s">
        <v>151</v>
      </c>
      <c r="J16" s="3" t="s">
        <v>40</v>
      </c>
      <c r="K16" s="0" t="n">
        <v>3</v>
      </c>
      <c r="L16" s="0" t="n">
        <v>3</v>
      </c>
      <c r="M16" s="4" t="n">
        <f aca="false">E16*K16*L16</f>
        <v>7987.77</v>
      </c>
      <c r="N16" s="4" t="n">
        <f aca="false">M16*1.18</f>
        <v>9425.5686</v>
      </c>
    </row>
    <row r="17" customFormat="false" ht="15" hidden="false" customHeight="false" outlineLevel="0" collapsed="false">
      <c r="A17" s="0" t="s">
        <v>41</v>
      </c>
      <c r="B17" s="6" t="n">
        <v>46029</v>
      </c>
      <c r="C17" s="3" t="s">
        <v>152</v>
      </c>
      <c r="D17" s="0" t="n">
        <v>195</v>
      </c>
      <c r="E17" s="0" t="n">
        <v>1772.17</v>
      </c>
      <c r="F17" s="6" t="n">
        <v>46027</v>
      </c>
      <c r="G17" s="3" t="s">
        <v>154</v>
      </c>
      <c r="H17" s="6" t="n">
        <v>46029</v>
      </c>
      <c r="I17" s="3" t="s">
        <v>156</v>
      </c>
      <c r="J17" s="3" t="s">
        <v>40</v>
      </c>
      <c r="K17" s="0" t="n">
        <v>3</v>
      </c>
      <c r="L17" s="0" t="n">
        <v>1</v>
      </c>
      <c r="M17" s="4" t="n">
        <f aca="false">E17*K17*L17</f>
        <v>5316.51</v>
      </c>
      <c r="N17" s="4" t="n">
        <f aca="false">M17*1.18</f>
        <v>6273.4818</v>
      </c>
    </row>
    <row r="18" customFormat="false" ht="15" hidden="false" customHeight="false" outlineLevel="0" collapsed="false">
      <c r="A18" s="0" t="s">
        <v>41</v>
      </c>
      <c r="B18" s="6" t="n">
        <v>46029</v>
      </c>
      <c r="C18" s="3" t="s">
        <v>158</v>
      </c>
      <c r="D18" s="0" t="n">
        <v>26</v>
      </c>
      <c r="E18" s="0" t="n">
        <v>1096.97</v>
      </c>
      <c r="F18" s="6" t="n">
        <v>46028</v>
      </c>
      <c r="G18" s="3" t="s">
        <v>161</v>
      </c>
      <c r="H18" s="6" t="n">
        <v>46029</v>
      </c>
      <c r="I18" s="3" t="s">
        <v>163</v>
      </c>
      <c r="J18" s="3" t="s">
        <v>40</v>
      </c>
      <c r="K18" s="0" t="n">
        <v>3</v>
      </c>
      <c r="L18" s="0" t="n">
        <v>2</v>
      </c>
      <c r="M18" s="4" t="n">
        <f aca="false">E18*K18*L18</f>
        <v>6581.82</v>
      </c>
      <c r="N18" s="4" t="n">
        <f aca="false">M18*1.18</f>
        <v>7766.5476</v>
      </c>
    </row>
    <row r="19" customFormat="false" ht="15" hidden="false" customHeight="false" outlineLevel="0" collapsed="false">
      <c r="A19" s="0" t="s">
        <v>41</v>
      </c>
      <c r="B19" s="6" t="n">
        <v>46029</v>
      </c>
      <c r="C19" s="3" t="s">
        <v>164</v>
      </c>
      <c r="D19" s="0" t="n">
        <v>127</v>
      </c>
      <c r="E19" s="0" t="n">
        <v>181.14</v>
      </c>
      <c r="F19" s="6" t="n">
        <v>46027</v>
      </c>
      <c r="G19" s="3" t="s">
        <v>167</v>
      </c>
      <c r="H19" s="6" t="n">
        <v>46029</v>
      </c>
      <c r="I19" s="3" t="s">
        <v>169</v>
      </c>
      <c r="J19" s="3" t="s">
        <v>40</v>
      </c>
      <c r="K19" s="0" t="n">
        <v>3</v>
      </c>
      <c r="L19" s="0" t="n">
        <v>4</v>
      </c>
      <c r="M19" s="4" t="n">
        <f aca="false">E19*K19*L19</f>
        <v>2173.68</v>
      </c>
      <c r="N19" s="4" t="n">
        <f aca="false">M19*1.18</f>
        <v>2564.9424</v>
      </c>
    </row>
    <row r="20" customFormat="false" ht="15" hidden="false" customHeight="false" outlineLevel="0" collapsed="false">
      <c r="A20" s="0" t="s">
        <v>41</v>
      </c>
      <c r="B20" s="6" t="n">
        <v>46030</v>
      </c>
      <c r="C20" s="3" t="s">
        <v>176</v>
      </c>
      <c r="D20" s="0" t="n">
        <v>77</v>
      </c>
      <c r="E20" s="0" t="n">
        <v>633.14</v>
      </c>
      <c r="F20" s="6" t="n">
        <v>46028</v>
      </c>
      <c r="G20" s="3" t="s">
        <v>179</v>
      </c>
      <c r="H20" s="6" t="n">
        <v>46030</v>
      </c>
      <c r="I20" s="3" t="s">
        <v>181</v>
      </c>
      <c r="J20" s="3" t="s">
        <v>40</v>
      </c>
      <c r="K20" s="0" t="n">
        <v>3</v>
      </c>
      <c r="L20" s="0" t="n">
        <v>3</v>
      </c>
      <c r="M20" s="4" t="n">
        <f aca="false">E20*K20*L20</f>
        <v>5698.26</v>
      </c>
      <c r="N20" s="4" t="n">
        <f aca="false">M20*1.18</f>
        <v>6723.9468</v>
      </c>
    </row>
    <row r="21" customFormat="false" ht="15" hidden="false" customHeight="false" outlineLevel="0" collapsed="false">
      <c r="A21" s="0" t="s">
        <v>41</v>
      </c>
      <c r="B21" s="6" t="n">
        <v>46030</v>
      </c>
      <c r="C21" s="3" t="s">
        <v>183</v>
      </c>
      <c r="D21" s="0" t="n">
        <v>107</v>
      </c>
      <c r="E21" s="0" t="n">
        <v>2348.66</v>
      </c>
      <c r="F21" s="6" t="n">
        <v>46028</v>
      </c>
      <c r="G21" s="3" t="s">
        <v>186</v>
      </c>
      <c r="H21" s="6" t="n">
        <v>46030</v>
      </c>
      <c r="I21" s="3" t="s">
        <v>188</v>
      </c>
      <c r="J21" s="3" t="s">
        <v>80</v>
      </c>
      <c r="K21" s="0" t="n">
        <v>3</v>
      </c>
      <c r="L21" s="0" t="n">
        <v>2</v>
      </c>
      <c r="M21" s="4" t="n">
        <f aca="false">E21*K21*L21</f>
        <v>14091.96</v>
      </c>
      <c r="N21" s="4" t="n">
        <f aca="false">M21*1.18</f>
        <v>16628.5128</v>
      </c>
    </row>
    <row r="22" customFormat="false" ht="15" hidden="false" customHeight="false" outlineLevel="0" collapsed="false">
      <c r="A22" s="0" t="s">
        <v>41</v>
      </c>
      <c r="B22" s="6" t="n">
        <v>46030</v>
      </c>
      <c r="C22" s="3" t="s">
        <v>190</v>
      </c>
      <c r="D22" s="0" t="n">
        <v>99</v>
      </c>
      <c r="E22" s="0" t="n">
        <v>1098.45</v>
      </c>
      <c r="F22" s="6" t="n">
        <v>46030</v>
      </c>
      <c r="G22" s="3" t="s">
        <v>193</v>
      </c>
      <c r="H22" s="6" t="n">
        <v>46030</v>
      </c>
      <c r="I22" s="3" t="s">
        <v>145</v>
      </c>
      <c r="J22" s="3" t="s">
        <v>40</v>
      </c>
      <c r="K22" s="0" t="n">
        <v>3</v>
      </c>
      <c r="L22" s="0" t="n">
        <v>4</v>
      </c>
      <c r="M22" s="4" t="n">
        <f aca="false">E22*K22*L22</f>
        <v>13181.4</v>
      </c>
      <c r="N22" s="4" t="n">
        <f aca="false">M22*1.18</f>
        <v>15554.052</v>
      </c>
    </row>
    <row r="23" customFormat="false" ht="15" hidden="false" customHeight="false" outlineLevel="0" collapsed="false">
      <c r="A23" s="0" t="s">
        <v>41</v>
      </c>
      <c r="B23" s="6" t="n">
        <v>46030</v>
      </c>
      <c r="C23" s="3" t="s">
        <v>196</v>
      </c>
      <c r="D23" s="0" t="n">
        <v>74</v>
      </c>
      <c r="E23" s="0" t="n">
        <v>2671.85</v>
      </c>
      <c r="F23" s="6" t="n">
        <v>46029</v>
      </c>
      <c r="G23" s="3" t="s">
        <v>199</v>
      </c>
      <c r="H23" s="6" t="n">
        <v>46030</v>
      </c>
      <c r="I23" s="3" t="s">
        <v>186</v>
      </c>
      <c r="J23" s="3" t="s">
        <v>80</v>
      </c>
      <c r="K23" s="0" t="n">
        <v>3</v>
      </c>
      <c r="L23" s="0" t="n">
        <v>1</v>
      </c>
      <c r="M23" s="4" t="n">
        <f aca="false">E23*K23*L23</f>
        <v>8015.55</v>
      </c>
      <c r="N23" s="4" t="n">
        <f aca="false">M23*1.18</f>
        <v>9458.349</v>
      </c>
    </row>
    <row r="24" customFormat="false" ht="15" hidden="false" customHeight="false" outlineLevel="0" collapsed="false">
      <c r="A24" s="0" t="s">
        <v>29</v>
      </c>
      <c r="B24" s="6" t="n">
        <v>46030</v>
      </c>
      <c r="C24" s="3" t="s">
        <v>201</v>
      </c>
      <c r="D24" s="0" t="n">
        <v>32</v>
      </c>
      <c r="E24" s="0" t="n">
        <v>2045.11</v>
      </c>
      <c r="F24" s="6" t="n">
        <v>46027</v>
      </c>
      <c r="G24" s="3" t="s">
        <v>204</v>
      </c>
      <c r="H24" s="6" t="n">
        <v>46030</v>
      </c>
      <c r="I24" s="3" t="s">
        <v>206</v>
      </c>
      <c r="J24" s="3" t="s">
        <v>40</v>
      </c>
      <c r="K24" s="0" t="n">
        <v>3</v>
      </c>
      <c r="L24" s="0" t="n">
        <v>1</v>
      </c>
      <c r="M24" s="4" t="n">
        <f aca="false">E24*K24*L24</f>
        <v>6135.33</v>
      </c>
      <c r="N24" s="4" t="n">
        <f aca="false">M24*1.18</f>
        <v>7239.6894</v>
      </c>
    </row>
    <row r="25" customFormat="false" ht="15" hidden="false" customHeight="false" outlineLevel="0" collapsed="false">
      <c r="A25" s="0" t="s">
        <v>29</v>
      </c>
      <c r="B25" s="6" t="n">
        <v>46030</v>
      </c>
      <c r="C25" s="3" t="s">
        <v>207</v>
      </c>
      <c r="D25" s="0" t="n">
        <v>147</v>
      </c>
      <c r="E25" s="0" t="n">
        <v>2168.32</v>
      </c>
      <c r="F25" s="6" t="n">
        <v>46029</v>
      </c>
      <c r="G25" s="3" t="s">
        <v>210</v>
      </c>
      <c r="H25" s="6" t="n">
        <v>46030</v>
      </c>
      <c r="I25" s="3" t="s">
        <v>212</v>
      </c>
      <c r="J25" s="3" t="s">
        <v>40</v>
      </c>
      <c r="K25" s="0" t="n">
        <v>3</v>
      </c>
      <c r="L25" s="0" t="n">
        <v>2</v>
      </c>
      <c r="M25" s="4" t="n">
        <f aca="false">E25*K25*L25</f>
        <v>13009.92</v>
      </c>
      <c r="N25" s="4" t="n">
        <f aca="false">M25*1.18</f>
        <v>15351.7056</v>
      </c>
    </row>
    <row r="26" customFormat="false" ht="15" hidden="false" customHeight="false" outlineLevel="0" collapsed="false">
      <c r="A26" s="0" t="s">
        <v>41</v>
      </c>
      <c r="B26" s="6" t="n">
        <v>46032</v>
      </c>
      <c r="C26" s="3" t="s">
        <v>213</v>
      </c>
      <c r="D26" s="0" t="n">
        <v>136</v>
      </c>
      <c r="E26" s="0" t="n">
        <v>3562.46</v>
      </c>
      <c r="F26" s="6" t="n">
        <v>46031</v>
      </c>
      <c r="G26" s="3" t="s">
        <v>216</v>
      </c>
      <c r="H26" s="6" t="n">
        <v>46032</v>
      </c>
      <c r="I26" s="3" t="s">
        <v>218</v>
      </c>
      <c r="J26" s="3" t="s">
        <v>40</v>
      </c>
      <c r="K26" s="0" t="n">
        <v>3</v>
      </c>
      <c r="L26" s="0" t="n">
        <v>2</v>
      </c>
      <c r="M26" s="4" t="n">
        <f aca="false">E26*K26*L26</f>
        <v>21374.76</v>
      </c>
      <c r="N26" s="4" t="n">
        <f aca="false">M26*1.18</f>
        <v>25222.2168</v>
      </c>
    </row>
    <row r="27" customFormat="false" ht="15" hidden="false" customHeight="false" outlineLevel="0" collapsed="false">
      <c r="A27" s="0" t="s">
        <v>41</v>
      </c>
      <c r="B27" s="6" t="n">
        <v>46032</v>
      </c>
      <c r="C27" s="3" t="s">
        <v>219</v>
      </c>
      <c r="D27" s="0" t="n">
        <v>112</v>
      </c>
      <c r="E27" s="0" t="n">
        <v>945.27</v>
      </c>
      <c r="F27" s="6" t="n">
        <v>46032</v>
      </c>
      <c r="G27" s="3" t="s">
        <v>222</v>
      </c>
      <c r="H27" s="6" t="n">
        <v>46032</v>
      </c>
      <c r="I27" s="3" t="s">
        <v>224</v>
      </c>
      <c r="J27" s="3" t="s">
        <v>95</v>
      </c>
      <c r="K27" s="0" t="n">
        <v>3</v>
      </c>
      <c r="L27" s="0" t="n">
        <v>2</v>
      </c>
      <c r="M27" s="4" t="n">
        <f aca="false">E27*K27*L27</f>
        <v>5671.62</v>
      </c>
      <c r="N27" s="4" t="n">
        <f aca="false">M27*1.18</f>
        <v>6692.5116</v>
      </c>
    </row>
    <row r="28" customFormat="false" ht="15" hidden="false" customHeight="false" outlineLevel="0" collapsed="false">
      <c r="A28" s="0" t="s">
        <v>41</v>
      </c>
      <c r="B28" s="6" t="n">
        <v>46032</v>
      </c>
      <c r="C28" s="3" t="s">
        <v>226</v>
      </c>
      <c r="D28" s="0" t="n">
        <v>149</v>
      </c>
      <c r="E28" s="0" t="n">
        <v>3310.42</v>
      </c>
      <c r="F28" s="6" t="n">
        <v>46032</v>
      </c>
      <c r="G28" s="3" t="s">
        <v>229</v>
      </c>
      <c r="H28" s="6" t="n">
        <v>46032</v>
      </c>
      <c r="I28" s="3" t="s">
        <v>231</v>
      </c>
      <c r="J28" s="3" t="s">
        <v>40</v>
      </c>
      <c r="K28" s="0" t="n">
        <v>3</v>
      </c>
      <c r="L28" s="0" t="n">
        <v>1</v>
      </c>
      <c r="M28" s="4" t="n">
        <f aca="false">E28*K28*L28</f>
        <v>9931.26</v>
      </c>
      <c r="N28" s="4" t="n">
        <f aca="false">M28*1.18</f>
        <v>11718.8868</v>
      </c>
    </row>
    <row r="29" customFormat="false" ht="15" hidden="false" customHeight="false" outlineLevel="0" collapsed="false">
      <c r="A29" s="0" t="s">
        <v>41</v>
      </c>
      <c r="B29" s="6" t="n">
        <v>46033</v>
      </c>
      <c r="C29" s="3" t="s">
        <v>239</v>
      </c>
      <c r="D29" s="0" t="n">
        <v>21</v>
      </c>
      <c r="E29" s="0" t="n">
        <v>875.16</v>
      </c>
      <c r="F29" s="6" t="n">
        <v>46031</v>
      </c>
      <c r="G29" s="3" t="s">
        <v>241</v>
      </c>
      <c r="H29" s="6" t="n">
        <v>46033</v>
      </c>
      <c r="I29" s="3" t="s">
        <v>243</v>
      </c>
      <c r="J29" s="3" t="s">
        <v>40</v>
      </c>
      <c r="K29" s="0" t="n">
        <v>3</v>
      </c>
      <c r="L29" s="0" t="n">
        <v>3</v>
      </c>
      <c r="M29" s="4" t="n">
        <f aca="false">E29*K29*L29</f>
        <v>7876.44</v>
      </c>
      <c r="N29" s="4" t="n">
        <f aca="false">M29*1.18</f>
        <v>9294.1992</v>
      </c>
    </row>
    <row r="30" customFormat="false" ht="15" hidden="false" customHeight="false" outlineLevel="0" collapsed="false">
      <c r="A30" s="0" t="s">
        <v>41</v>
      </c>
      <c r="B30" s="6" t="n">
        <v>46033</v>
      </c>
      <c r="C30" s="3" t="s">
        <v>244</v>
      </c>
      <c r="D30" s="0" t="n">
        <v>214</v>
      </c>
      <c r="E30" s="0" t="n">
        <v>2636.24</v>
      </c>
      <c r="F30" s="6" t="n">
        <v>46033</v>
      </c>
      <c r="G30" s="3" t="s">
        <v>247</v>
      </c>
      <c r="H30" s="6" t="n">
        <v>46033</v>
      </c>
      <c r="I30" s="3" t="s">
        <v>216</v>
      </c>
      <c r="J30" s="3" t="s">
        <v>40</v>
      </c>
      <c r="K30" s="0" t="n">
        <v>3</v>
      </c>
      <c r="L30" s="0" t="n">
        <v>1</v>
      </c>
      <c r="M30" s="4" t="n">
        <f aca="false">E30*K30*L30</f>
        <v>7908.72</v>
      </c>
      <c r="N30" s="4" t="n">
        <f aca="false">M30*1.18</f>
        <v>9332.2896</v>
      </c>
    </row>
    <row r="31" customFormat="false" ht="15" hidden="false" customHeight="false" outlineLevel="0" collapsed="false">
      <c r="A31" s="0" t="s">
        <v>29</v>
      </c>
      <c r="B31" s="6" t="n">
        <v>46033</v>
      </c>
      <c r="C31" s="3" t="s">
        <v>249</v>
      </c>
      <c r="D31" s="0" t="n">
        <v>1</v>
      </c>
      <c r="E31" s="0" t="n">
        <v>2014.27</v>
      </c>
      <c r="F31" s="6" t="n">
        <v>46030</v>
      </c>
      <c r="G31" s="3" t="s">
        <v>252</v>
      </c>
      <c r="H31" s="6" t="n">
        <v>46033</v>
      </c>
      <c r="I31" s="3" t="s">
        <v>254</v>
      </c>
      <c r="J31" s="3" t="s">
        <v>40</v>
      </c>
      <c r="K31" s="0" t="n">
        <v>3</v>
      </c>
      <c r="L31" s="0" t="n">
        <v>4</v>
      </c>
      <c r="M31" s="4" t="n">
        <f aca="false">E31*K31*L31</f>
        <v>24171.24</v>
      </c>
      <c r="N31" s="4" t="n">
        <f aca="false">M31*1.18</f>
        <v>28522.0632</v>
      </c>
    </row>
    <row r="32" customFormat="false" ht="15" hidden="false" customHeight="false" outlineLevel="0" collapsed="false">
      <c r="A32" s="0" t="s">
        <v>29</v>
      </c>
      <c r="B32" s="6" t="n">
        <v>46034</v>
      </c>
      <c r="C32" s="3" t="s">
        <v>268</v>
      </c>
      <c r="D32" s="0" t="n">
        <v>163</v>
      </c>
      <c r="E32" s="0" t="n">
        <v>2333.2</v>
      </c>
      <c r="F32" s="6" t="n">
        <v>46033</v>
      </c>
      <c r="G32" s="3" t="s">
        <v>271</v>
      </c>
      <c r="H32" s="6" t="n">
        <v>46034</v>
      </c>
      <c r="I32" s="3" t="s">
        <v>273</v>
      </c>
      <c r="J32" s="3" t="s">
        <v>274</v>
      </c>
      <c r="K32" s="0" t="n">
        <v>5</v>
      </c>
      <c r="L32" s="0" t="n">
        <v>2</v>
      </c>
      <c r="M32" s="4" t="n">
        <f aca="false">E32*K32*L32</f>
        <v>23332</v>
      </c>
      <c r="N32" s="4" t="n">
        <f aca="false">M32*1.18</f>
        <v>27531.76</v>
      </c>
    </row>
    <row r="33" customFormat="false" ht="15" hidden="false" customHeight="false" outlineLevel="0" collapsed="false">
      <c r="A33" s="0" t="s">
        <v>29</v>
      </c>
      <c r="B33" s="6" t="n">
        <v>46034</v>
      </c>
      <c r="C33" s="3" t="s">
        <v>275</v>
      </c>
      <c r="D33" s="0" t="n">
        <v>111</v>
      </c>
      <c r="E33" s="0" t="n">
        <v>2773.18</v>
      </c>
      <c r="F33" s="6" t="n">
        <v>46031</v>
      </c>
      <c r="G33" s="3" t="s">
        <v>277</v>
      </c>
      <c r="H33" s="6" t="n">
        <v>46034</v>
      </c>
      <c r="I33" s="3" t="s">
        <v>279</v>
      </c>
      <c r="J33" s="3" t="s">
        <v>40</v>
      </c>
      <c r="K33" s="0" t="n">
        <v>3</v>
      </c>
      <c r="L33" s="0" t="n">
        <v>2</v>
      </c>
      <c r="M33" s="4" t="n">
        <f aca="false">E33*K33*L33</f>
        <v>16639.08</v>
      </c>
      <c r="N33" s="4" t="n">
        <f aca="false">M33*1.18</f>
        <v>19634.1144</v>
      </c>
    </row>
    <row r="34" customFormat="false" ht="15" hidden="false" customHeight="false" outlineLevel="0" collapsed="false">
      <c r="A34" s="0" t="s">
        <v>29</v>
      </c>
      <c r="B34" s="6" t="n">
        <v>46034</v>
      </c>
      <c r="C34" s="3" t="s">
        <v>280</v>
      </c>
      <c r="D34" s="0" t="n">
        <v>125</v>
      </c>
      <c r="E34" s="0" t="n">
        <v>1822.85</v>
      </c>
      <c r="F34" s="6" t="n">
        <v>46034</v>
      </c>
      <c r="G34" s="3" t="s">
        <v>283</v>
      </c>
      <c r="H34" s="6" t="n">
        <v>46034</v>
      </c>
      <c r="I34" s="3" t="s">
        <v>285</v>
      </c>
      <c r="J34" s="3" t="s">
        <v>40</v>
      </c>
      <c r="K34" s="0" t="n">
        <v>3</v>
      </c>
      <c r="L34" s="0" t="n">
        <v>1</v>
      </c>
      <c r="M34" s="4" t="n">
        <f aca="false">E34*K34*L34</f>
        <v>5468.55</v>
      </c>
      <c r="N34" s="4" t="n">
        <f aca="false">M34*1.18</f>
        <v>6452.889</v>
      </c>
    </row>
    <row r="35" customFormat="false" ht="15" hidden="false" customHeight="false" outlineLevel="0" collapsed="false">
      <c r="A35" s="0" t="s">
        <v>41</v>
      </c>
      <c r="B35" s="6" t="n">
        <v>46035</v>
      </c>
      <c r="C35" s="3" t="s">
        <v>286</v>
      </c>
      <c r="D35" s="0" t="n">
        <v>131</v>
      </c>
      <c r="E35" s="0" t="n">
        <v>3953.63</v>
      </c>
      <c r="F35" s="6" t="n">
        <v>46035</v>
      </c>
      <c r="G35" s="3" t="s">
        <v>289</v>
      </c>
      <c r="H35" s="6" t="n">
        <v>46035</v>
      </c>
      <c r="I35" s="3" t="s">
        <v>291</v>
      </c>
      <c r="J35" s="3" t="s">
        <v>40</v>
      </c>
      <c r="K35" s="0" t="n">
        <v>3</v>
      </c>
      <c r="L35" s="0" t="n">
        <v>2</v>
      </c>
      <c r="M35" s="4" t="n">
        <f aca="false">E35*K35*L35</f>
        <v>23721.78</v>
      </c>
      <c r="N35" s="4" t="n">
        <f aca="false">M35*1.18</f>
        <v>27991.7004</v>
      </c>
    </row>
    <row r="36" customFormat="false" ht="15" hidden="false" customHeight="false" outlineLevel="0" collapsed="false">
      <c r="A36" s="0" t="s">
        <v>41</v>
      </c>
      <c r="B36" s="6" t="n">
        <v>46035</v>
      </c>
      <c r="C36" s="3" t="s">
        <v>292</v>
      </c>
      <c r="D36" s="0" t="n">
        <v>86</v>
      </c>
      <c r="E36" s="0" t="n">
        <v>1109.64</v>
      </c>
      <c r="F36" s="6" t="n">
        <v>46033</v>
      </c>
      <c r="G36" s="3" t="s">
        <v>295</v>
      </c>
      <c r="H36" s="6" t="n">
        <v>46035</v>
      </c>
      <c r="I36" s="3" t="s">
        <v>297</v>
      </c>
      <c r="J36" s="3" t="s">
        <v>40</v>
      </c>
      <c r="K36" s="0" t="n">
        <v>3</v>
      </c>
      <c r="L36" s="0" t="n">
        <v>3</v>
      </c>
      <c r="M36" s="4" t="n">
        <f aca="false">E36*K36*L36</f>
        <v>9986.76</v>
      </c>
      <c r="N36" s="4" t="n">
        <f aca="false">M36*1.18</f>
        <v>11784.3768</v>
      </c>
    </row>
    <row r="37" customFormat="false" ht="15" hidden="false" customHeight="false" outlineLevel="0" collapsed="false">
      <c r="A37" s="0" t="s">
        <v>41</v>
      </c>
      <c r="B37" s="6" t="n">
        <v>46036</v>
      </c>
      <c r="C37" s="3" t="s">
        <v>304</v>
      </c>
      <c r="D37" s="0" t="n">
        <v>174</v>
      </c>
      <c r="E37" s="0" t="n">
        <v>483.26</v>
      </c>
      <c r="F37" s="6" t="n">
        <v>46033</v>
      </c>
      <c r="G37" s="3" t="s">
        <v>263</v>
      </c>
      <c r="H37" s="6" t="n">
        <v>46036</v>
      </c>
      <c r="I37" s="3" t="s">
        <v>308</v>
      </c>
      <c r="J37" s="3" t="s">
        <v>40</v>
      </c>
      <c r="K37" s="0" t="n">
        <v>3</v>
      </c>
      <c r="L37" s="0" t="n">
        <v>3</v>
      </c>
      <c r="M37" s="4" t="n">
        <f aca="false">E37*K37*L37</f>
        <v>4349.34</v>
      </c>
      <c r="N37" s="4" t="n">
        <f aca="false">M37*1.18</f>
        <v>5132.2212</v>
      </c>
    </row>
    <row r="38" customFormat="false" ht="15" hidden="false" customHeight="false" outlineLevel="0" collapsed="false">
      <c r="A38" s="0" t="s">
        <v>29</v>
      </c>
      <c r="B38" s="6" t="n">
        <v>46036</v>
      </c>
      <c r="C38" s="3" t="s">
        <v>314</v>
      </c>
      <c r="D38" s="0" t="n">
        <v>100</v>
      </c>
      <c r="E38" s="0" t="n">
        <v>1439.01</v>
      </c>
      <c r="F38" s="6" t="n">
        <v>46035</v>
      </c>
      <c r="G38" s="3" t="s">
        <v>317</v>
      </c>
      <c r="H38" s="6" t="n">
        <v>46036</v>
      </c>
      <c r="I38" s="3" t="s">
        <v>319</v>
      </c>
      <c r="J38" s="3" t="s">
        <v>40</v>
      </c>
      <c r="K38" s="0" t="n">
        <v>3</v>
      </c>
      <c r="L38" s="0" t="n">
        <v>2</v>
      </c>
      <c r="M38" s="4" t="n">
        <f aca="false">E38*K38*L38</f>
        <v>8634.06</v>
      </c>
      <c r="N38" s="4" t="n">
        <f aca="false">M38*1.18</f>
        <v>10188.1908</v>
      </c>
    </row>
    <row r="39" customFormat="false" ht="15" hidden="false" customHeight="false" outlineLevel="0" collapsed="false">
      <c r="A39" s="0" t="s">
        <v>29</v>
      </c>
      <c r="B39" s="6" t="n">
        <v>46036</v>
      </c>
      <c r="C39" s="3" t="s">
        <v>320</v>
      </c>
      <c r="D39" s="0" t="n">
        <v>1</v>
      </c>
      <c r="E39" s="0" t="n">
        <v>2052.33</v>
      </c>
      <c r="F39" s="6" t="n">
        <v>46034</v>
      </c>
      <c r="G39" s="3" t="s">
        <v>323</v>
      </c>
      <c r="H39" s="6" t="n">
        <v>46036</v>
      </c>
      <c r="I39" s="3" t="s">
        <v>325</v>
      </c>
      <c r="J39" s="3" t="s">
        <v>40</v>
      </c>
      <c r="K39" s="0" t="n">
        <v>3</v>
      </c>
      <c r="L39" s="0" t="n">
        <v>3</v>
      </c>
      <c r="M39" s="4" t="n">
        <f aca="false">E39*K39*L39</f>
        <v>18470.97</v>
      </c>
      <c r="N39" s="4" t="n">
        <f aca="false">M39*1.18</f>
        <v>21795.7446</v>
      </c>
    </row>
    <row r="40" customFormat="false" ht="15" hidden="false" customHeight="false" outlineLevel="0" collapsed="false">
      <c r="A40" s="0" t="s">
        <v>41</v>
      </c>
      <c r="B40" s="6" t="n">
        <v>46037</v>
      </c>
      <c r="C40" s="3" t="s">
        <v>326</v>
      </c>
      <c r="D40" s="0" t="n">
        <v>211</v>
      </c>
      <c r="E40" s="0" t="n">
        <v>2615.03</v>
      </c>
      <c r="F40" s="6" t="n">
        <v>46035</v>
      </c>
      <c r="G40" s="3" t="s">
        <v>329</v>
      </c>
      <c r="H40" s="6" t="n">
        <v>46037</v>
      </c>
      <c r="I40" s="3" t="s">
        <v>331</v>
      </c>
      <c r="J40" s="3" t="s">
        <v>40</v>
      </c>
      <c r="K40" s="0" t="n">
        <v>3</v>
      </c>
      <c r="L40" s="0" t="n">
        <v>3</v>
      </c>
      <c r="M40" s="4" t="n">
        <f aca="false">E40*K40*L40</f>
        <v>23535.27</v>
      </c>
      <c r="N40" s="4" t="n">
        <f aca="false">M40*1.18</f>
        <v>27771.6186</v>
      </c>
    </row>
    <row r="41" customFormat="false" ht="15" hidden="false" customHeight="false" outlineLevel="0" collapsed="false">
      <c r="A41" s="0" t="s">
        <v>29</v>
      </c>
      <c r="B41" s="6" t="n">
        <v>46037</v>
      </c>
      <c r="C41" s="3" t="s">
        <v>339</v>
      </c>
      <c r="D41" s="0" t="n">
        <v>116</v>
      </c>
      <c r="E41" s="0" t="n">
        <v>2259.8</v>
      </c>
      <c r="F41" s="6" t="n">
        <v>46037</v>
      </c>
      <c r="G41" s="3" t="s">
        <v>342</v>
      </c>
      <c r="H41" s="6" t="n">
        <v>46037</v>
      </c>
      <c r="I41" s="3" t="s">
        <v>131</v>
      </c>
      <c r="J41" s="3" t="s">
        <v>40</v>
      </c>
      <c r="K41" s="0" t="n">
        <v>3</v>
      </c>
      <c r="L41" s="0" t="n">
        <v>1</v>
      </c>
      <c r="M41" s="4" t="n">
        <f aca="false">E41*K41*L41</f>
        <v>6779.4</v>
      </c>
      <c r="N41" s="4" t="n">
        <f aca="false">M41*1.18</f>
        <v>7999.692</v>
      </c>
    </row>
    <row r="42" customFormat="false" ht="15" hidden="false" customHeight="false" outlineLevel="0" collapsed="false">
      <c r="A42" s="0" t="s">
        <v>29</v>
      </c>
      <c r="B42" s="6" t="n">
        <v>46037</v>
      </c>
      <c r="C42" s="3" t="s">
        <v>344</v>
      </c>
      <c r="D42" s="0" t="n">
        <v>62</v>
      </c>
      <c r="E42" s="0" t="n">
        <v>655.02</v>
      </c>
      <c r="F42" s="6" t="n">
        <v>46035</v>
      </c>
      <c r="G42" s="3" t="s">
        <v>347</v>
      </c>
      <c r="H42" s="6" t="n">
        <v>46037</v>
      </c>
      <c r="I42" s="3" t="s">
        <v>349</v>
      </c>
      <c r="J42" s="3" t="s">
        <v>40</v>
      </c>
      <c r="K42" s="0" t="n">
        <v>3</v>
      </c>
      <c r="L42" s="0" t="n">
        <v>2</v>
      </c>
      <c r="M42" s="4" t="n">
        <f aca="false">E42*K42*L42</f>
        <v>3930.12</v>
      </c>
      <c r="N42" s="4" t="n">
        <f aca="false">M42*1.18</f>
        <v>4637.5416</v>
      </c>
    </row>
    <row r="43" customFormat="false" ht="15" hidden="false" customHeight="false" outlineLevel="0" collapsed="false">
      <c r="A43" s="0" t="s">
        <v>41</v>
      </c>
      <c r="B43" s="6" t="n">
        <v>46038</v>
      </c>
      <c r="C43" s="3" t="s">
        <v>350</v>
      </c>
      <c r="D43" s="0" t="n">
        <v>54</v>
      </c>
      <c r="E43" s="0" t="n">
        <v>3481.89</v>
      </c>
      <c r="F43" s="6" t="n">
        <v>46035</v>
      </c>
      <c r="G43" s="3" t="s">
        <v>353</v>
      </c>
      <c r="H43" s="6" t="n">
        <v>46038</v>
      </c>
      <c r="I43" s="3" t="s">
        <v>130</v>
      </c>
      <c r="J43" s="3" t="s">
        <v>40</v>
      </c>
      <c r="K43" s="0" t="n">
        <v>3</v>
      </c>
      <c r="L43" s="0" t="n">
        <v>4</v>
      </c>
      <c r="M43" s="4" t="n">
        <f aca="false">E43*K43*L43</f>
        <v>41782.68</v>
      </c>
      <c r="N43" s="4" t="n">
        <f aca="false">M43*1.18</f>
        <v>49303.5624</v>
      </c>
    </row>
    <row r="44" customFormat="false" ht="15" hidden="false" customHeight="false" outlineLevel="0" collapsed="false">
      <c r="A44" s="0" t="s">
        <v>41</v>
      </c>
      <c r="B44" s="6" t="n">
        <v>46038</v>
      </c>
      <c r="C44" s="3" t="s">
        <v>359</v>
      </c>
      <c r="D44" s="0" t="n">
        <v>111</v>
      </c>
      <c r="E44" s="0" t="n">
        <v>2599.53</v>
      </c>
      <c r="F44" s="6" t="n">
        <v>46036</v>
      </c>
      <c r="G44" s="3" t="s">
        <v>362</v>
      </c>
      <c r="H44" s="6" t="n">
        <v>46038</v>
      </c>
      <c r="I44" s="3" t="s">
        <v>364</v>
      </c>
      <c r="J44" s="3" t="s">
        <v>40</v>
      </c>
      <c r="K44" s="0" t="n">
        <v>3</v>
      </c>
      <c r="L44" s="0" t="n">
        <v>1</v>
      </c>
      <c r="M44" s="4" t="n">
        <f aca="false">E44*K44*L44</f>
        <v>7798.59</v>
      </c>
      <c r="N44" s="4" t="n">
        <f aca="false">M44*1.18</f>
        <v>9202.3362</v>
      </c>
    </row>
    <row r="45" customFormat="false" ht="15" hidden="false" customHeight="false" outlineLevel="0" collapsed="false">
      <c r="A45" s="0" t="s">
        <v>41</v>
      </c>
      <c r="B45" s="6" t="n">
        <v>46039</v>
      </c>
      <c r="C45" s="3" t="s">
        <v>366</v>
      </c>
      <c r="D45" s="0" t="n">
        <v>178</v>
      </c>
      <c r="E45" s="0" t="n">
        <v>3769.42</v>
      </c>
      <c r="F45" s="6" t="n">
        <v>46039</v>
      </c>
      <c r="G45" s="3" t="s">
        <v>369</v>
      </c>
      <c r="H45" s="6" t="n">
        <v>46039</v>
      </c>
      <c r="I45" s="3" t="s">
        <v>371</v>
      </c>
      <c r="J45" s="3" t="s">
        <v>40</v>
      </c>
      <c r="K45" s="0" t="n">
        <v>3</v>
      </c>
      <c r="L45" s="0" t="n">
        <v>1</v>
      </c>
      <c r="M45" s="4" t="n">
        <f aca="false">E45*K45*L45</f>
        <v>11308.26</v>
      </c>
      <c r="N45" s="4" t="n">
        <f aca="false">M45*1.18</f>
        <v>13343.7468</v>
      </c>
    </row>
    <row r="46" customFormat="false" ht="15" hidden="false" customHeight="false" outlineLevel="0" collapsed="false">
      <c r="A46" s="0" t="s">
        <v>41</v>
      </c>
      <c r="B46" s="6" t="n">
        <v>46039</v>
      </c>
      <c r="C46" s="3" t="s">
        <v>372</v>
      </c>
      <c r="D46" s="0" t="n">
        <v>52</v>
      </c>
      <c r="E46" s="0" t="n">
        <v>1781.16</v>
      </c>
      <c r="F46" s="6" t="n">
        <v>46038</v>
      </c>
      <c r="G46" s="3" t="s">
        <v>375</v>
      </c>
      <c r="H46" s="6" t="n">
        <v>46039</v>
      </c>
      <c r="I46" s="3" t="s">
        <v>377</v>
      </c>
      <c r="J46" s="3" t="s">
        <v>40</v>
      </c>
      <c r="K46" s="0" t="n">
        <v>3</v>
      </c>
      <c r="L46" s="0" t="n">
        <v>2</v>
      </c>
      <c r="M46" s="4" t="n">
        <f aca="false">E46*K46*L46</f>
        <v>10686.96</v>
      </c>
      <c r="N46" s="4" t="n">
        <f aca="false">M46*1.18</f>
        <v>12610.6128</v>
      </c>
    </row>
    <row r="47" customFormat="false" ht="15" hidden="false" customHeight="false" outlineLevel="0" collapsed="false">
      <c r="A47" s="0" t="s">
        <v>29</v>
      </c>
      <c r="B47" s="6" t="n">
        <v>46039</v>
      </c>
      <c r="C47" s="3" t="s">
        <v>378</v>
      </c>
      <c r="D47" s="0" t="n">
        <v>158</v>
      </c>
      <c r="E47" s="0" t="n">
        <v>783.37</v>
      </c>
      <c r="F47" s="6" t="n">
        <v>46037</v>
      </c>
      <c r="G47" s="3" t="s">
        <v>380</v>
      </c>
      <c r="H47" s="6" t="n">
        <v>46039</v>
      </c>
      <c r="I47" s="3" t="s">
        <v>382</v>
      </c>
      <c r="J47" s="3" t="s">
        <v>40</v>
      </c>
      <c r="K47" s="0" t="n">
        <v>3</v>
      </c>
      <c r="L47" s="0" t="n">
        <v>2</v>
      </c>
      <c r="M47" s="4" t="n">
        <f aca="false">E47*K47*L47</f>
        <v>4700.22</v>
      </c>
      <c r="N47" s="4" t="n">
        <f aca="false">M47*1.18</f>
        <v>5546.2596</v>
      </c>
    </row>
    <row r="48" customFormat="false" ht="15" hidden="false" customHeight="false" outlineLevel="0" collapsed="false">
      <c r="A48" s="0" t="s">
        <v>29</v>
      </c>
      <c r="B48" s="6" t="n">
        <v>46039</v>
      </c>
      <c r="C48" s="3" t="s">
        <v>383</v>
      </c>
      <c r="D48" s="0" t="n">
        <v>150</v>
      </c>
      <c r="E48" s="0" t="n">
        <v>398.03</v>
      </c>
      <c r="F48" s="6" t="n">
        <v>46037</v>
      </c>
      <c r="G48" s="3" t="s">
        <v>204</v>
      </c>
      <c r="H48" s="6" t="n">
        <v>46039</v>
      </c>
      <c r="I48" s="3" t="s">
        <v>387</v>
      </c>
      <c r="J48" s="3" t="s">
        <v>40</v>
      </c>
      <c r="K48" s="0" t="n">
        <v>3</v>
      </c>
      <c r="L48" s="0" t="n">
        <v>1</v>
      </c>
      <c r="M48" s="4" t="n">
        <f aca="false">E48*K48*L48</f>
        <v>1194.09</v>
      </c>
      <c r="N48" s="4" t="n">
        <f aca="false">M48*1.18</f>
        <v>1409.0262</v>
      </c>
    </row>
    <row r="49" customFormat="false" ht="15" hidden="false" customHeight="false" outlineLevel="0" collapsed="false">
      <c r="A49" s="0" t="s">
        <v>29</v>
      </c>
      <c r="B49" s="6" t="n">
        <v>46039</v>
      </c>
      <c r="C49" s="3" t="s">
        <v>388</v>
      </c>
      <c r="D49" s="0" t="n">
        <v>6</v>
      </c>
      <c r="E49" s="0" t="n">
        <v>1856.93</v>
      </c>
      <c r="F49" s="6" t="n">
        <v>46039</v>
      </c>
      <c r="G49" s="3" t="s">
        <v>390</v>
      </c>
      <c r="H49" s="6" t="n">
        <v>46039</v>
      </c>
      <c r="I49" s="3" t="s">
        <v>392</v>
      </c>
      <c r="J49" s="3" t="s">
        <v>114</v>
      </c>
      <c r="K49" s="0" t="n">
        <v>5</v>
      </c>
      <c r="L49" s="0" t="n">
        <v>3</v>
      </c>
      <c r="M49" s="4" t="n">
        <f aca="false">E49*K49*L49</f>
        <v>27853.95</v>
      </c>
      <c r="N49" s="4" t="n">
        <f aca="false">M49*1.18</f>
        <v>32867.661</v>
      </c>
    </row>
    <row r="50" customFormat="false" ht="15" hidden="false" customHeight="false" outlineLevel="0" collapsed="false">
      <c r="A50" s="0" t="s">
        <v>41</v>
      </c>
      <c r="B50" s="6" t="n">
        <v>46040</v>
      </c>
      <c r="C50" s="3" t="s">
        <v>393</v>
      </c>
      <c r="D50" s="0" t="n">
        <v>51</v>
      </c>
      <c r="E50" s="0" t="n">
        <v>1264.89</v>
      </c>
      <c r="F50" s="6" t="n">
        <v>46038</v>
      </c>
      <c r="G50" s="3" t="s">
        <v>396</v>
      </c>
      <c r="H50" s="6" t="n">
        <v>46040</v>
      </c>
      <c r="I50" s="3" t="s">
        <v>89</v>
      </c>
      <c r="J50" s="3" t="s">
        <v>40</v>
      </c>
      <c r="K50" s="0" t="n">
        <v>3</v>
      </c>
      <c r="L50" s="0" t="n">
        <v>3</v>
      </c>
      <c r="M50" s="4" t="n">
        <f aca="false">E50*K50*L50</f>
        <v>11384.01</v>
      </c>
      <c r="N50" s="4" t="n">
        <f aca="false">M50*1.18</f>
        <v>13433.1318</v>
      </c>
    </row>
    <row r="51" customFormat="false" ht="15" hidden="false" customHeight="false" outlineLevel="0" collapsed="false">
      <c r="A51" s="0" t="s">
        <v>29</v>
      </c>
      <c r="B51" s="6" t="n">
        <v>46040</v>
      </c>
      <c r="C51" s="3" t="s">
        <v>398</v>
      </c>
      <c r="D51" s="0" t="n">
        <v>59</v>
      </c>
      <c r="E51" s="0" t="n">
        <v>2481.8</v>
      </c>
      <c r="F51" s="6" t="n">
        <v>46039</v>
      </c>
      <c r="G51" s="3" t="s">
        <v>400</v>
      </c>
      <c r="H51" s="6" t="n">
        <v>46040</v>
      </c>
      <c r="I51" s="3" t="s">
        <v>402</v>
      </c>
      <c r="J51" s="3" t="s">
        <v>40</v>
      </c>
      <c r="K51" s="0" t="n">
        <v>3</v>
      </c>
      <c r="L51" s="0" t="n">
        <v>1</v>
      </c>
      <c r="M51" s="4" t="n">
        <f aca="false">E51*K51*L51</f>
        <v>7445.4</v>
      </c>
      <c r="N51" s="4" t="n">
        <f aca="false">M51*1.18</f>
        <v>8785.572</v>
      </c>
    </row>
    <row r="52" customFormat="false" ht="15" hidden="false" customHeight="false" outlineLevel="0" collapsed="false">
      <c r="A52" s="0" t="s">
        <v>41</v>
      </c>
      <c r="B52" s="6" t="n">
        <v>46041</v>
      </c>
      <c r="C52" s="3" t="s">
        <v>403</v>
      </c>
      <c r="D52" s="0" t="n">
        <v>62</v>
      </c>
      <c r="E52" s="0" t="n">
        <v>2852.94</v>
      </c>
      <c r="F52" s="6" t="n">
        <v>46041</v>
      </c>
      <c r="G52" s="3" t="s">
        <v>405</v>
      </c>
      <c r="H52" s="6" t="n">
        <v>46041</v>
      </c>
      <c r="I52" s="3" t="s">
        <v>407</v>
      </c>
      <c r="J52" s="3" t="s">
        <v>40</v>
      </c>
      <c r="K52" s="0" t="n">
        <v>3</v>
      </c>
      <c r="L52" s="0" t="n">
        <v>3</v>
      </c>
      <c r="M52" s="4" t="n">
        <f aca="false">E52*K52*L52</f>
        <v>25676.46</v>
      </c>
      <c r="N52" s="4" t="n">
        <f aca="false">M52*1.18</f>
        <v>30298.2228</v>
      </c>
    </row>
    <row r="53" customFormat="false" ht="15" hidden="false" customHeight="false" outlineLevel="0" collapsed="false">
      <c r="A53" s="0" t="s">
        <v>29</v>
      </c>
      <c r="B53" s="6" t="n">
        <v>46041</v>
      </c>
      <c r="C53" s="3" t="s">
        <v>413</v>
      </c>
      <c r="D53" s="0" t="n">
        <v>138</v>
      </c>
      <c r="E53" s="0" t="n">
        <v>3326.39</v>
      </c>
      <c r="F53" s="6" t="n">
        <v>46038</v>
      </c>
      <c r="G53" s="3" t="s">
        <v>416</v>
      </c>
      <c r="H53" s="6" t="n">
        <v>46041</v>
      </c>
      <c r="I53" s="3" t="s">
        <v>276</v>
      </c>
      <c r="J53" s="3" t="s">
        <v>95</v>
      </c>
      <c r="K53" s="0" t="n">
        <v>3</v>
      </c>
      <c r="L53" s="0" t="n">
        <v>3</v>
      </c>
      <c r="M53" s="4" t="n">
        <f aca="false">E53*K53*L53</f>
        <v>29937.51</v>
      </c>
      <c r="N53" s="4" t="n">
        <f aca="false">M53*1.18</f>
        <v>35326.2618</v>
      </c>
    </row>
    <row r="54" customFormat="false" ht="15" hidden="false" customHeight="false" outlineLevel="0" collapsed="false">
      <c r="A54" s="0" t="s">
        <v>41</v>
      </c>
      <c r="B54" s="6" t="n">
        <v>46042</v>
      </c>
      <c r="C54" s="3" t="s">
        <v>424</v>
      </c>
      <c r="D54" s="0" t="n">
        <v>55</v>
      </c>
      <c r="E54" s="0" t="n">
        <v>2464.63</v>
      </c>
      <c r="F54" s="6" t="n">
        <v>46040</v>
      </c>
      <c r="G54" s="3" t="s">
        <v>123</v>
      </c>
      <c r="H54" s="6" t="n">
        <v>46042</v>
      </c>
      <c r="I54" s="3" t="s">
        <v>428</v>
      </c>
      <c r="J54" s="3" t="s">
        <v>274</v>
      </c>
      <c r="K54" s="0" t="n">
        <v>5</v>
      </c>
      <c r="L54" s="0" t="n">
        <v>1</v>
      </c>
      <c r="M54" s="4" t="n">
        <f aca="false">E54*K54*L54</f>
        <v>12323.15</v>
      </c>
      <c r="N54" s="4" t="n">
        <f aca="false">M54*1.18</f>
        <v>14541.317</v>
      </c>
    </row>
    <row r="55" customFormat="false" ht="15" hidden="false" customHeight="false" outlineLevel="0" collapsed="false">
      <c r="A55" s="0" t="s">
        <v>41</v>
      </c>
      <c r="B55" s="6" t="n">
        <v>46042</v>
      </c>
      <c r="C55" s="3" t="s">
        <v>429</v>
      </c>
      <c r="D55" s="0" t="n">
        <v>127</v>
      </c>
      <c r="E55" s="0" t="n">
        <v>1160.97</v>
      </c>
      <c r="F55" s="6" t="n">
        <v>46040</v>
      </c>
      <c r="G55" s="3" t="s">
        <v>431</v>
      </c>
      <c r="H55" s="6" t="n">
        <v>46042</v>
      </c>
      <c r="I55" s="3" t="s">
        <v>433</v>
      </c>
      <c r="J55" s="3" t="s">
        <v>274</v>
      </c>
      <c r="K55" s="0" t="n">
        <v>5</v>
      </c>
      <c r="L55" s="0" t="n">
        <v>1</v>
      </c>
      <c r="M55" s="4" t="n">
        <f aca="false">E55*K55*L55</f>
        <v>5804.85</v>
      </c>
      <c r="N55" s="4" t="n">
        <f aca="false">M55*1.18</f>
        <v>6849.723</v>
      </c>
    </row>
    <row r="56" customFormat="false" ht="15" hidden="false" customHeight="false" outlineLevel="0" collapsed="false">
      <c r="A56" s="0" t="s">
        <v>41</v>
      </c>
      <c r="B56" s="6" t="n">
        <v>46043</v>
      </c>
      <c r="C56" s="3" t="s">
        <v>438</v>
      </c>
      <c r="D56" s="0" t="n">
        <v>86</v>
      </c>
      <c r="E56" s="0" t="n">
        <v>460.21</v>
      </c>
      <c r="F56" s="6" t="n">
        <v>46043</v>
      </c>
      <c r="G56" s="3" t="s">
        <v>441</v>
      </c>
      <c r="H56" s="6" t="n">
        <v>46043</v>
      </c>
      <c r="I56" s="3" t="s">
        <v>443</v>
      </c>
      <c r="J56" s="3" t="s">
        <v>71</v>
      </c>
      <c r="K56" s="0" t="n">
        <v>12</v>
      </c>
      <c r="L56" s="0" t="n">
        <v>2</v>
      </c>
      <c r="M56" s="4" t="n">
        <f aca="false">E56*K56*L56</f>
        <v>11045.04</v>
      </c>
      <c r="N56" s="4" t="n">
        <f aca="false">M56*1.18</f>
        <v>13033.1472</v>
      </c>
    </row>
    <row r="57" customFormat="false" ht="15" hidden="false" customHeight="false" outlineLevel="0" collapsed="false">
      <c r="A57" s="0" t="s">
        <v>41</v>
      </c>
      <c r="B57" s="6" t="n">
        <v>46043</v>
      </c>
      <c r="C57" s="3" t="s">
        <v>444</v>
      </c>
      <c r="D57" s="0" t="n">
        <v>133</v>
      </c>
      <c r="E57" s="0" t="n">
        <v>1974.45</v>
      </c>
      <c r="F57" s="6" t="n">
        <v>46043</v>
      </c>
      <c r="G57" s="3" t="s">
        <v>447</v>
      </c>
      <c r="H57" s="6" t="n">
        <v>46043</v>
      </c>
      <c r="I57" s="3" t="s">
        <v>449</v>
      </c>
      <c r="J57" s="3" t="s">
        <v>40</v>
      </c>
      <c r="K57" s="0" t="n">
        <v>3</v>
      </c>
      <c r="L57" s="0" t="n">
        <v>4</v>
      </c>
      <c r="M57" s="4" t="n">
        <f aca="false">E57*K57*L57</f>
        <v>23693.4</v>
      </c>
      <c r="N57" s="4" t="n">
        <f aca="false">M57*1.18</f>
        <v>27958.212</v>
      </c>
    </row>
    <row r="58" customFormat="false" ht="15" hidden="false" customHeight="false" outlineLevel="0" collapsed="false">
      <c r="A58" s="0" t="s">
        <v>41</v>
      </c>
      <c r="B58" s="6" t="n">
        <v>46043</v>
      </c>
      <c r="C58" s="3" t="s">
        <v>450</v>
      </c>
      <c r="D58" s="0" t="n">
        <v>9</v>
      </c>
      <c r="E58" s="0" t="n">
        <v>1885.21</v>
      </c>
      <c r="F58" s="6" t="n">
        <v>46043</v>
      </c>
      <c r="G58" s="3" t="s">
        <v>452</v>
      </c>
      <c r="H58" s="6" t="n">
        <v>46043</v>
      </c>
      <c r="I58" s="3" t="s">
        <v>316</v>
      </c>
      <c r="J58" s="3" t="s">
        <v>40</v>
      </c>
      <c r="K58" s="0" t="n">
        <v>3</v>
      </c>
      <c r="L58" s="0" t="n">
        <v>2</v>
      </c>
      <c r="M58" s="4" t="n">
        <f aca="false">E58*K58*L58</f>
        <v>11311.26</v>
      </c>
      <c r="N58" s="4" t="n">
        <f aca="false">M58*1.18</f>
        <v>13347.2868</v>
      </c>
    </row>
    <row r="59" customFormat="false" ht="15" hidden="false" customHeight="false" outlineLevel="0" collapsed="false">
      <c r="A59" s="0" t="s">
        <v>29</v>
      </c>
      <c r="B59" s="6" t="n">
        <v>46043</v>
      </c>
      <c r="C59" s="3" t="s">
        <v>460</v>
      </c>
      <c r="D59" s="0" t="n">
        <v>172</v>
      </c>
      <c r="E59" s="0" t="n">
        <v>2235.08</v>
      </c>
      <c r="F59" s="6" t="n">
        <v>46041</v>
      </c>
      <c r="G59" s="3" t="s">
        <v>335</v>
      </c>
      <c r="H59" s="6" t="n">
        <v>46043</v>
      </c>
      <c r="I59" s="3" t="s">
        <v>387</v>
      </c>
      <c r="J59" s="3" t="s">
        <v>40</v>
      </c>
      <c r="K59" s="0" t="n">
        <v>3</v>
      </c>
      <c r="L59" s="0" t="n">
        <v>1</v>
      </c>
      <c r="M59" s="4" t="n">
        <f aca="false">E59*K59*L59</f>
        <v>6705.24</v>
      </c>
      <c r="N59" s="4" t="n">
        <f aca="false">M59*1.18</f>
        <v>7912.1832</v>
      </c>
    </row>
    <row r="60" customFormat="false" ht="15" hidden="false" customHeight="false" outlineLevel="0" collapsed="false">
      <c r="A60" s="0" t="s">
        <v>29</v>
      </c>
      <c r="B60" s="6" t="n">
        <v>46043</v>
      </c>
      <c r="C60" s="3" t="s">
        <v>470</v>
      </c>
      <c r="D60" s="0" t="n">
        <v>15</v>
      </c>
      <c r="E60" s="0" t="n">
        <v>1164.32</v>
      </c>
      <c r="F60" s="6" t="n">
        <v>46043</v>
      </c>
      <c r="G60" s="3" t="s">
        <v>473</v>
      </c>
      <c r="H60" s="6" t="n">
        <v>46043</v>
      </c>
      <c r="I60" s="3" t="s">
        <v>475</v>
      </c>
      <c r="J60" s="3" t="s">
        <v>40</v>
      </c>
      <c r="K60" s="0" t="n">
        <v>3</v>
      </c>
      <c r="L60" s="0" t="n">
        <v>1</v>
      </c>
      <c r="M60" s="4" t="n">
        <f aca="false">E60*K60*L60</f>
        <v>3492.96</v>
      </c>
      <c r="N60" s="4" t="n">
        <f aca="false">M60*1.18</f>
        <v>4121.6928</v>
      </c>
    </row>
    <row r="61" customFormat="false" ht="15" hidden="false" customHeight="false" outlineLevel="0" collapsed="false">
      <c r="A61" s="0" t="s">
        <v>41</v>
      </c>
      <c r="B61" s="6" t="n">
        <v>46044</v>
      </c>
      <c r="C61" s="3" t="s">
        <v>476</v>
      </c>
      <c r="D61" s="0" t="n">
        <v>210</v>
      </c>
      <c r="E61" s="0" t="n">
        <v>1044.84</v>
      </c>
      <c r="F61" s="6" t="n">
        <v>46044</v>
      </c>
      <c r="G61" s="3" t="s">
        <v>479</v>
      </c>
      <c r="H61" s="6" t="n">
        <v>46044</v>
      </c>
      <c r="I61" s="3" t="s">
        <v>481</v>
      </c>
      <c r="J61" s="3" t="s">
        <v>40</v>
      </c>
      <c r="K61" s="0" t="n">
        <v>3</v>
      </c>
      <c r="L61" s="0" t="n">
        <v>4</v>
      </c>
      <c r="M61" s="4" t="n">
        <f aca="false">E61*K61*L61</f>
        <v>12538.08</v>
      </c>
      <c r="N61" s="4" t="n">
        <f aca="false">M61*1.18</f>
        <v>14794.9344</v>
      </c>
    </row>
    <row r="62" customFormat="false" ht="15" hidden="false" customHeight="false" outlineLevel="0" collapsed="false">
      <c r="A62" s="0" t="s">
        <v>29</v>
      </c>
      <c r="B62" s="6" t="n">
        <v>46044</v>
      </c>
      <c r="C62" s="3" t="s">
        <v>482</v>
      </c>
      <c r="D62" s="0" t="n">
        <v>83</v>
      </c>
      <c r="E62" s="0" t="n">
        <v>1449.22</v>
      </c>
      <c r="F62" s="6" t="n">
        <v>46041</v>
      </c>
      <c r="G62" s="3" t="s">
        <v>285</v>
      </c>
      <c r="H62" s="6" t="n">
        <v>46044</v>
      </c>
      <c r="I62" s="3" t="s">
        <v>486</v>
      </c>
      <c r="J62" s="3" t="s">
        <v>40</v>
      </c>
      <c r="K62" s="0" t="n">
        <v>3</v>
      </c>
      <c r="L62" s="0" t="n">
        <v>1</v>
      </c>
      <c r="M62" s="4" t="n">
        <f aca="false">E62*K62*L62</f>
        <v>4347.66</v>
      </c>
      <c r="N62" s="4" t="n">
        <f aca="false">M62*1.18</f>
        <v>5130.2388</v>
      </c>
    </row>
    <row r="63" customFormat="false" ht="15" hidden="false" customHeight="false" outlineLevel="0" collapsed="false">
      <c r="A63" s="0" t="s">
        <v>29</v>
      </c>
      <c r="B63" s="6" t="n">
        <v>46044</v>
      </c>
      <c r="C63" s="3" t="s">
        <v>492</v>
      </c>
      <c r="D63" s="0" t="n">
        <v>144</v>
      </c>
      <c r="E63" s="0" t="n">
        <v>866.66</v>
      </c>
      <c r="F63" s="6" t="n">
        <v>46043</v>
      </c>
      <c r="G63" s="3" t="s">
        <v>495</v>
      </c>
      <c r="H63" s="6" t="n">
        <v>46044</v>
      </c>
      <c r="I63" s="3" t="s">
        <v>263</v>
      </c>
      <c r="J63" s="3" t="s">
        <v>274</v>
      </c>
      <c r="K63" s="0" t="n">
        <v>5</v>
      </c>
      <c r="L63" s="0" t="n">
        <v>3</v>
      </c>
      <c r="M63" s="4" t="n">
        <f aca="false">E63*K63*L63</f>
        <v>12999.9</v>
      </c>
      <c r="N63" s="4" t="n">
        <f aca="false">M63*1.18</f>
        <v>15339.882</v>
      </c>
    </row>
    <row r="64" customFormat="false" ht="15" hidden="false" customHeight="false" outlineLevel="0" collapsed="false">
      <c r="A64" s="0" t="s">
        <v>29</v>
      </c>
      <c r="B64" s="6" t="n">
        <v>46044</v>
      </c>
      <c r="C64" s="3" t="s">
        <v>500</v>
      </c>
      <c r="D64" s="0" t="n">
        <v>193</v>
      </c>
      <c r="E64" s="0" t="n">
        <v>3035.98</v>
      </c>
      <c r="F64" s="6" t="n">
        <v>46042</v>
      </c>
      <c r="G64" s="3" t="s">
        <v>147</v>
      </c>
      <c r="H64" s="6" t="n">
        <v>46044</v>
      </c>
      <c r="I64" s="3" t="s">
        <v>503</v>
      </c>
      <c r="J64" s="3" t="s">
        <v>504</v>
      </c>
      <c r="K64" s="0" t="n">
        <v>12</v>
      </c>
      <c r="L64" s="0" t="n">
        <v>4</v>
      </c>
      <c r="M64" s="4" t="n">
        <f aca="false">E64*K64*L64</f>
        <v>145727.04</v>
      </c>
      <c r="N64" s="4" t="n">
        <f aca="false">M64*1.18</f>
        <v>171957.9072</v>
      </c>
    </row>
    <row r="65" customFormat="false" ht="15" hidden="false" customHeight="false" outlineLevel="0" collapsed="false">
      <c r="A65" s="0" t="s">
        <v>41</v>
      </c>
      <c r="B65" s="6" t="n">
        <v>46045</v>
      </c>
      <c r="C65" s="3" t="s">
        <v>505</v>
      </c>
      <c r="D65" s="0" t="n">
        <v>130</v>
      </c>
      <c r="E65" s="0" t="n">
        <v>312.21</v>
      </c>
      <c r="F65" s="6" t="n">
        <v>46044</v>
      </c>
      <c r="G65" s="3" t="s">
        <v>508</v>
      </c>
      <c r="H65" s="6" t="n">
        <v>46045</v>
      </c>
      <c r="I65" s="3" t="s">
        <v>510</v>
      </c>
      <c r="J65" s="3" t="s">
        <v>40</v>
      </c>
      <c r="K65" s="0" t="n">
        <v>3</v>
      </c>
      <c r="L65" s="0" t="n">
        <v>1</v>
      </c>
      <c r="M65" s="4" t="n">
        <f aca="false">E65*K65*L65</f>
        <v>936.63</v>
      </c>
      <c r="N65" s="4" t="n">
        <f aca="false">M65*1.18</f>
        <v>1105.2234</v>
      </c>
    </row>
    <row r="66" customFormat="false" ht="15" hidden="false" customHeight="false" outlineLevel="0" collapsed="false">
      <c r="A66" s="0" t="s">
        <v>29</v>
      </c>
      <c r="B66" s="6" t="n">
        <v>46046</v>
      </c>
      <c r="C66" s="3" t="s">
        <v>521</v>
      </c>
      <c r="D66" s="0" t="n">
        <v>20</v>
      </c>
      <c r="E66" s="0" t="n">
        <v>1305.75</v>
      </c>
      <c r="F66" s="6" t="n">
        <v>46043</v>
      </c>
      <c r="G66" s="3" t="s">
        <v>524</v>
      </c>
      <c r="H66" s="6" t="n">
        <v>46046</v>
      </c>
      <c r="I66" s="3" t="s">
        <v>69</v>
      </c>
      <c r="J66" s="3" t="s">
        <v>40</v>
      </c>
      <c r="K66" s="0" t="n">
        <v>3</v>
      </c>
      <c r="L66" s="0" t="n">
        <v>1</v>
      </c>
      <c r="M66" s="4" t="n">
        <f aca="false">E66*K66*L66</f>
        <v>3917.25</v>
      </c>
      <c r="N66" s="4" t="n">
        <f aca="false">M66*1.18</f>
        <v>4622.355</v>
      </c>
    </row>
    <row r="67" customFormat="false" ht="15" hidden="false" customHeight="false" outlineLevel="0" collapsed="false">
      <c r="A67" s="0" t="s">
        <v>41</v>
      </c>
      <c r="B67" s="6" t="n">
        <v>46048</v>
      </c>
      <c r="C67" s="3" t="s">
        <v>526</v>
      </c>
      <c r="D67" s="0" t="n">
        <v>111</v>
      </c>
      <c r="E67" s="0" t="n">
        <v>2368.84</v>
      </c>
      <c r="F67" s="6" t="n">
        <v>46045</v>
      </c>
      <c r="G67" s="3" t="s">
        <v>529</v>
      </c>
      <c r="H67" s="6" t="n">
        <v>46048</v>
      </c>
      <c r="I67" s="3" t="s">
        <v>531</v>
      </c>
      <c r="J67" s="3" t="s">
        <v>80</v>
      </c>
      <c r="K67" s="0" t="n">
        <v>3</v>
      </c>
      <c r="L67" s="0" t="n">
        <v>3</v>
      </c>
      <c r="M67" s="4" t="n">
        <f aca="false">E67*K67*L67</f>
        <v>21319.56</v>
      </c>
      <c r="N67" s="4" t="n">
        <f aca="false">M67*1.18</f>
        <v>25157.0808</v>
      </c>
    </row>
    <row r="68" customFormat="false" ht="15" hidden="false" customHeight="false" outlineLevel="0" collapsed="false">
      <c r="A68" s="0" t="s">
        <v>41</v>
      </c>
      <c r="B68" s="6" t="n">
        <v>46048</v>
      </c>
      <c r="C68" s="3" t="s">
        <v>532</v>
      </c>
      <c r="D68" s="0" t="n">
        <v>200</v>
      </c>
      <c r="E68" s="0" t="n">
        <v>2194.02</v>
      </c>
      <c r="F68" s="6" t="n">
        <v>46047</v>
      </c>
      <c r="G68" s="3" t="s">
        <v>535</v>
      </c>
      <c r="H68" s="6" t="n">
        <v>46048</v>
      </c>
      <c r="I68" s="3" t="s">
        <v>537</v>
      </c>
      <c r="J68" s="3" t="s">
        <v>40</v>
      </c>
      <c r="K68" s="0" t="n">
        <v>3</v>
      </c>
      <c r="L68" s="0" t="n">
        <v>1</v>
      </c>
      <c r="M68" s="4" t="n">
        <f aca="false">E68*K68*L68</f>
        <v>6582.06</v>
      </c>
      <c r="N68" s="4" t="n">
        <f aca="false">M68*1.18</f>
        <v>7766.8308</v>
      </c>
    </row>
    <row r="69" customFormat="false" ht="15" hidden="false" customHeight="false" outlineLevel="0" collapsed="false">
      <c r="A69" s="0" t="s">
        <v>41</v>
      </c>
      <c r="B69" s="6" t="n">
        <v>46048</v>
      </c>
      <c r="C69" s="3" t="s">
        <v>538</v>
      </c>
      <c r="D69" s="0" t="n">
        <v>53</v>
      </c>
      <c r="E69" s="0" t="n">
        <v>404.63</v>
      </c>
      <c r="F69" s="6" t="n">
        <v>46047</v>
      </c>
      <c r="G69" s="3" t="s">
        <v>541</v>
      </c>
      <c r="H69" s="6" t="n">
        <v>46048</v>
      </c>
      <c r="I69" s="3" t="s">
        <v>543</v>
      </c>
      <c r="J69" s="3" t="s">
        <v>40</v>
      </c>
      <c r="K69" s="0" t="n">
        <v>3</v>
      </c>
      <c r="L69" s="0" t="n">
        <v>1</v>
      </c>
      <c r="M69" s="4" t="n">
        <f aca="false">E69*K69*L69</f>
        <v>1213.89</v>
      </c>
      <c r="N69" s="4" t="n">
        <f aca="false">M69*1.18</f>
        <v>1432.3902</v>
      </c>
    </row>
    <row r="70" customFormat="false" ht="15" hidden="false" customHeight="false" outlineLevel="0" collapsed="false">
      <c r="A70" s="0" t="s">
        <v>29</v>
      </c>
      <c r="B70" s="6" t="n">
        <v>46048</v>
      </c>
      <c r="C70" s="3" t="s">
        <v>544</v>
      </c>
      <c r="D70" s="0" t="n">
        <v>154</v>
      </c>
      <c r="E70" s="0" t="n">
        <v>2642.08</v>
      </c>
      <c r="F70" s="6" t="n">
        <v>46047</v>
      </c>
      <c r="G70" s="3" t="s">
        <v>137</v>
      </c>
      <c r="H70" s="6" t="n">
        <v>46048</v>
      </c>
      <c r="I70" s="3" t="s">
        <v>547</v>
      </c>
      <c r="J70" s="3" t="s">
        <v>40</v>
      </c>
      <c r="K70" s="0" t="n">
        <v>3</v>
      </c>
      <c r="L70" s="0" t="n">
        <v>1</v>
      </c>
      <c r="M70" s="4" t="n">
        <f aca="false">E70*K70*L70</f>
        <v>7926.24</v>
      </c>
      <c r="N70" s="4" t="n">
        <f aca="false">M70*1.18</f>
        <v>9352.9632</v>
      </c>
    </row>
    <row r="71" customFormat="false" ht="15" hidden="false" customHeight="false" outlineLevel="0" collapsed="false">
      <c r="A71" s="0" t="s">
        <v>41</v>
      </c>
      <c r="B71" s="6" t="n">
        <v>46049</v>
      </c>
      <c r="C71" s="3" t="s">
        <v>553</v>
      </c>
      <c r="D71" s="0" t="n">
        <v>113</v>
      </c>
      <c r="E71" s="0" t="n">
        <v>3169.1</v>
      </c>
      <c r="F71" s="6" t="n">
        <v>46048</v>
      </c>
      <c r="G71" s="3" t="s">
        <v>556</v>
      </c>
      <c r="H71" s="6" t="n">
        <v>46049</v>
      </c>
      <c r="I71" s="3" t="s">
        <v>156</v>
      </c>
      <c r="J71" s="3" t="s">
        <v>40</v>
      </c>
      <c r="K71" s="0" t="n">
        <v>3</v>
      </c>
      <c r="L71" s="0" t="n">
        <v>1</v>
      </c>
      <c r="M71" s="4" t="n">
        <f aca="false">E71*K71*L71</f>
        <v>9507.3</v>
      </c>
      <c r="N71" s="4" t="n">
        <f aca="false">M71*1.18</f>
        <v>11218.614</v>
      </c>
    </row>
    <row r="72" customFormat="false" ht="15" hidden="false" customHeight="false" outlineLevel="0" collapsed="false">
      <c r="A72" s="0" t="s">
        <v>29</v>
      </c>
      <c r="B72" s="6" t="n">
        <v>46049</v>
      </c>
      <c r="C72" s="3" t="s">
        <v>564</v>
      </c>
      <c r="D72" s="0" t="n">
        <v>98</v>
      </c>
      <c r="E72" s="0" t="n">
        <v>301.94</v>
      </c>
      <c r="F72" s="6" t="n">
        <v>46049</v>
      </c>
      <c r="G72" s="3" t="s">
        <v>567</v>
      </c>
      <c r="H72" s="6" t="n">
        <v>46049</v>
      </c>
      <c r="I72" s="3" t="s">
        <v>569</v>
      </c>
      <c r="J72" s="3" t="s">
        <v>40</v>
      </c>
      <c r="K72" s="0" t="n">
        <v>3</v>
      </c>
      <c r="L72" s="0" t="n">
        <v>3</v>
      </c>
      <c r="M72" s="4" t="n">
        <f aca="false">E72*K72*L72</f>
        <v>2717.46</v>
      </c>
      <c r="N72" s="4" t="n">
        <f aca="false">M72*1.18</f>
        <v>3206.6028</v>
      </c>
    </row>
    <row r="73" customFormat="false" ht="15" hidden="false" customHeight="false" outlineLevel="0" collapsed="false">
      <c r="A73" s="0" t="s">
        <v>29</v>
      </c>
      <c r="B73" s="6" t="n">
        <v>46049</v>
      </c>
      <c r="C73" s="3" t="s">
        <v>570</v>
      </c>
      <c r="D73" s="0" t="n">
        <v>187</v>
      </c>
      <c r="E73" s="0" t="n">
        <v>729.57</v>
      </c>
      <c r="F73" s="6" t="n">
        <v>46048</v>
      </c>
      <c r="G73" s="3" t="s">
        <v>573</v>
      </c>
      <c r="H73" s="6" t="n">
        <v>46049</v>
      </c>
      <c r="I73" s="3" t="s">
        <v>575</v>
      </c>
      <c r="J73" s="3" t="s">
        <v>40</v>
      </c>
      <c r="K73" s="0" t="n">
        <v>3</v>
      </c>
      <c r="L73" s="0" t="n">
        <v>4</v>
      </c>
      <c r="M73" s="4" t="n">
        <f aca="false">E73*K73*L73</f>
        <v>8754.84</v>
      </c>
      <c r="N73" s="4" t="n">
        <f aca="false">M73*1.18</f>
        <v>10330.7112</v>
      </c>
    </row>
    <row r="74" customFormat="false" ht="15" hidden="false" customHeight="false" outlineLevel="0" collapsed="false">
      <c r="A74" s="0" t="s">
        <v>41</v>
      </c>
      <c r="B74" s="6" t="n">
        <v>46050</v>
      </c>
      <c r="C74" s="3" t="s">
        <v>576</v>
      </c>
      <c r="D74" s="0" t="n">
        <v>2</v>
      </c>
      <c r="E74" s="0" t="n">
        <v>927.02</v>
      </c>
      <c r="F74" s="6" t="n">
        <v>46049</v>
      </c>
      <c r="G74" s="3" t="s">
        <v>578</v>
      </c>
      <c r="H74" s="6" t="n">
        <v>46050</v>
      </c>
      <c r="I74" s="3" t="s">
        <v>580</v>
      </c>
      <c r="J74" s="3" t="s">
        <v>80</v>
      </c>
      <c r="K74" s="0" t="n">
        <v>3</v>
      </c>
      <c r="L74" s="0" t="n">
        <v>2</v>
      </c>
      <c r="M74" s="4" t="n">
        <f aca="false">E74*K74*L74</f>
        <v>5562.12</v>
      </c>
      <c r="N74" s="4" t="n">
        <f aca="false">M74*1.18</f>
        <v>6563.3016</v>
      </c>
    </row>
    <row r="75" customFormat="false" ht="15" hidden="false" customHeight="false" outlineLevel="0" collapsed="false">
      <c r="A75" s="0" t="s">
        <v>41</v>
      </c>
      <c r="B75" s="6" t="n">
        <v>46050</v>
      </c>
      <c r="C75" s="3" t="s">
        <v>581</v>
      </c>
      <c r="D75" s="0" t="n">
        <v>130</v>
      </c>
      <c r="E75" s="0" t="n">
        <v>759.84</v>
      </c>
      <c r="F75" s="6" t="n">
        <v>46047</v>
      </c>
      <c r="G75" s="3" t="s">
        <v>384</v>
      </c>
      <c r="H75" s="6" t="n">
        <v>46050</v>
      </c>
      <c r="I75" s="3" t="s">
        <v>585</v>
      </c>
      <c r="J75" s="3" t="s">
        <v>40</v>
      </c>
      <c r="K75" s="0" t="n">
        <v>3</v>
      </c>
      <c r="L75" s="0" t="n">
        <v>2</v>
      </c>
      <c r="M75" s="4" t="n">
        <f aca="false">E75*K75*L75</f>
        <v>4559.04</v>
      </c>
      <c r="N75" s="4" t="n">
        <f aca="false">M75*1.18</f>
        <v>5379.6672</v>
      </c>
    </row>
    <row r="76" customFormat="false" ht="15" hidden="false" customHeight="false" outlineLevel="0" collapsed="false">
      <c r="M76" s="7" t="n">
        <f aca="false">SUM(M4:M75)</f>
        <v>917707.65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5" t="s">
        <v>608</v>
      </c>
    </row>
    <row r="3" customFormat="false" ht="23.85" hidden="false" customHeight="false" outlineLevel="0" collapsed="false">
      <c r="A3" s="1" t="s">
        <v>609</v>
      </c>
      <c r="B3" s="1" t="s">
        <v>610</v>
      </c>
      <c r="C3" s="1" t="s">
        <v>611</v>
      </c>
      <c r="D3" s="1" t="s">
        <v>612</v>
      </c>
      <c r="E3" s="1" t="s">
        <v>613</v>
      </c>
      <c r="F3" s="1" t="s">
        <v>614</v>
      </c>
      <c r="G3" s="1" t="s">
        <v>6</v>
      </c>
      <c r="H3" s="1" t="s">
        <v>615</v>
      </c>
      <c r="I3" s="1" t="s">
        <v>616</v>
      </c>
      <c r="J3" s="1" t="s">
        <v>604</v>
      </c>
      <c r="K3" s="1" t="s">
        <v>617</v>
      </c>
      <c r="L3" s="1" t="s">
        <v>618</v>
      </c>
    </row>
    <row r="4" customFormat="false" ht="15" hidden="false" customHeight="false" outlineLevel="0" collapsed="false">
      <c r="A4" s="0" t="n">
        <v>1</v>
      </c>
      <c r="B4" s="0" t="s">
        <v>30</v>
      </c>
      <c r="C4" s="0" t="s">
        <v>29</v>
      </c>
      <c r="D4" s="6" t="n">
        <v>46024</v>
      </c>
      <c r="E4" s="3" t="s">
        <v>32</v>
      </c>
      <c r="F4" s="3" t="s">
        <v>33</v>
      </c>
      <c r="G4" s="0" t="n">
        <v>162</v>
      </c>
      <c r="H4" s="0" t="n">
        <v>559.2</v>
      </c>
      <c r="I4" s="0" t="n">
        <v>839.23</v>
      </c>
      <c r="J4" s="3" t="s">
        <v>40</v>
      </c>
      <c r="K4" s="0" t="n">
        <v>3.1</v>
      </c>
      <c r="L4" s="4" t="n">
        <f aca="false">I4*K4*1.18</f>
        <v>3069.90334</v>
      </c>
    </row>
    <row r="5" customFormat="false" ht="15" hidden="false" customHeight="false" outlineLevel="0" collapsed="false">
      <c r="A5" s="0" t="n">
        <v>2</v>
      </c>
      <c r="B5" s="0" t="s">
        <v>42</v>
      </c>
      <c r="C5" s="0" t="s">
        <v>41</v>
      </c>
      <c r="D5" s="6" t="n">
        <v>46025</v>
      </c>
      <c r="E5" s="3" t="s">
        <v>32</v>
      </c>
      <c r="F5" s="3" t="s">
        <v>43</v>
      </c>
      <c r="G5" s="0" t="n">
        <v>8</v>
      </c>
      <c r="H5" s="0" t="n">
        <v>1820.94</v>
      </c>
      <c r="I5" s="0" t="n">
        <v>1821.24</v>
      </c>
      <c r="J5" s="3" t="s">
        <v>40</v>
      </c>
      <c r="K5" s="0" t="n">
        <v>3.1</v>
      </c>
      <c r="L5" s="4" t="n">
        <f aca="false">I5*K5*1.18</f>
        <v>6662.09592</v>
      </c>
    </row>
    <row r="6" customFormat="false" ht="15" hidden="false" customHeight="false" outlineLevel="0" collapsed="false">
      <c r="A6" s="0" t="n">
        <v>3</v>
      </c>
      <c r="B6" s="0" t="s">
        <v>50</v>
      </c>
      <c r="C6" s="0" t="s">
        <v>29</v>
      </c>
      <c r="D6" s="6" t="n">
        <v>46025</v>
      </c>
      <c r="E6" s="3" t="s">
        <v>32</v>
      </c>
      <c r="F6" s="3" t="s">
        <v>51</v>
      </c>
      <c r="G6" s="0" t="n">
        <v>203</v>
      </c>
      <c r="H6" s="0" t="n">
        <v>1708.64</v>
      </c>
      <c r="I6" s="0" t="n">
        <v>1709.13</v>
      </c>
      <c r="J6" s="3" t="s">
        <v>40</v>
      </c>
      <c r="K6" s="0" t="n">
        <v>3.1</v>
      </c>
      <c r="L6" s="4" t="n">
        <f aca="false">I6*K6*1.18</f>
        <v>6251.99754</v>
      </c>
    </row>
    <row r="7" customFormat="false" ht="15" hidden="false" customHeight="false" outlineLevel="0" collapsed="false">
      <c r="A7" s="0" t="n">
        <v>4</v>
      </c>
      <c r="B7" s="0" t="s">
        <v>58</v>
      </c>
      <c r="C7" s="0" t="s">
        <v>29</v>
      </c>
      <c r="D7" s="6" t="n">
        <v>46025</v>
      </c>
      <c r="E7" s="3" t="s">
        <v>32</v>
      </c>
      <c r="F7" s="3" t="s">
        <v>51</v>
      </c>
      <c r="G7" s="0" t="n">
        <v>132</v>
      </c>
      <c r="H7" s="0" t="n">
        <v>904.4</v>
      </c>
      <c r="I7" s="0" t="n">
        <v>904.85</v>
      </c>
      <c r="J7" s="3" t="s">
        <v>40</v>
      </c>
      <c r="K7" s="0" t="n">
        <v>3.1</v>
      </c>
      <c r="L7" s="4" t="n">
        <f aca="false">I7*K7*1.18</f>
        <v>3309.9413</v>
      </c>
    </row>
    <row r="8" customFormat="false" ht="15" hidden="false" customHeight="false" outlineLevel="0" collapsed="false">
      <c r="A8" s="0" t="n">
        <v>5</v>
      </c>
      <c r="B8" s="0" t="s">
        <v>64</v>
      </c>
      <c r="C8" s="0" t="s">
        <v>29</v>
      </c>
      <c r="D8" s="6" t="n">
        <v>46025</v>
      </c>
      <c r="E8" s="3" t="s">
        <v>32</v>
      </c>
      <c r="F8" s="3" t="s">
        <v>33</v>
      </c>
      <c r="G8" s="0" t="n">
        <v>70</v>
      </c>
      <c r="H8" s="0" t="n">
        <v>757.29</v>
      </c>
      <c r="I8" s="0" t="n">
        <v>1136.27</v>
      </c>
      <c r="J8" s="3" t="s">
        <v>71</v>
      </c>
      <c r="K8" s="0" t="n">
        <v>3.1</v>
      </c>
      <c r="L8" s="4" t="n">
        <f aca="false">I8*K8*1.18</f>
        <v>4156.47566</v>
      </c>
    </row>
    <row r="9" customFormat="false" ht="15" hidden="false" customHeight="false" outlineLevel="0" collapsed="false">
      <c r="A9" s="0" t="n">
        <v>6</v>
      </c>
      <c r="B9" s="0" t="s">
        <v>72</v>
      </c>
      <c r="C9" s="0" t="s">
        <v>29</v>
      </c>
      <c r="D9" s="6" t="n">
        <v>46025</v>
      </c>
      <c r="E9" s="3" t="s">
        <v>32</v>
      </c>
      <c r="F9" s="3" t="s">
        <v>51</v>
      </c>
      <c r="G9" s="0" t="n">
        <v>193</v>
      </c>
      <c r="H9" s="0" t="n">
        <v>1756.62</v>
      </c>
      <c r="I9" s="0" t="n">
        <v>1932.66</v>
      </c>
      <c r="J9" s="3" t="s">
        <v>80</v>
      </c>
      <c r="K9" s="0" t="n">
        <v>3.1</v>
      </c>
      <c r="L9" s="4" t="n">
        <f aca="false">I9*K9*1.18</f>
        <v>7069.67028</v>
      </c>
    </row>
    <row r="10" customFormat="false" ht="15" hidden="false" customHeight="false" outlineLevel="0" collapsed="false">
      <c r="A10" s="0" t="n">
        <v>7</v>
      </c>
      <c r="B10" s="0" t="s">
        <v>81</v>
      </c>
      <c r="C10" s="0" t="s">
        <v>41</v>
      </c>
      <c r="D10" s="6" t="n">
        <v>46026</v>
      </c>
      <c r="E10" s="3" t="s">
        <v>32</v>
      </c>
      <c r="F10" s="3" t="s">
        <v>43</v>
      </c>
      <c r="G10" s="0" t="n">
        <v>54</v>
      </c>
      <c r="H10" s="0" t="n">
        <v>636.73</v>
      </c>
      <c r="I10" s="0" t="n">
        <v>955.21</v>
      </c>
      <c r="J10" s="3" t="s">
        <v>80</v>
      </c>
      <c r="K10" s="0" t="n">
        <v>3.1</v>
      </c>
      <c r="L10" s="4" t="n">
        <f aca="false">I10*K10*1.18</f>
        <v>3494.15818</v>
      </c>
    </row>
    <row r="11" customFormat="false" ht="15" hidden="false" customHeight="false" outlineLevel="0" collapsed="false">
      <c r="A11" s="0" t="n">
        <v>8</v>
      </c>
      <c r="B11" s="0" t="s">
        <v>88</v>
      </c>
      <c r="C11" s="0" t="s">
        <v>29</v>
      </c>
      <c r="D11" s="6" t="n">
        <v>46026</v>
      </c>
      <c r="E11" s="3" t="s">
        <v>32</v>
      </c>
      <c r="F11" s="3" t="s">
        <v>33</v>
      </c>
      <c r="G11" s="0" t="n">
        <v>96</v>
      </c>
      <c r="H11" s="0" t="n">
        <v>1444.67</v>
      </c>
      <c r="I11" s="0" t="n">
        <v>1589.42</v>
      </c>
      <c r="J11" s="3" t="s">
        <v>95</v>
      </c>
      <c r="K11" s="0" t="n">
        <v>3.1</v>
      </c>
      <c r="L11" s="4" t="n">
        <f aca="false">I11*K11*1.18</f>
        <v>5814.09836</v>
      </c>
    </row>
    <row r="12" customFormat="false" ht="15" hidden="false" customHeight="false" outlineLevel="0" collapsed="false">
      <c r="A12" s="0" t="n">
        <v>9</v>
      </c>
      <c r="B12" s="0" t="s">
        <v>96</v>
      </c>
      <c r="C12" s="0" t="s">
        <v>29</v>
      </c>
      <c r="D12" s="6" t="n">
        <v>46026</v>
      </c>
      <c r="E12" s="3" t="s">
        <v>32</v>
      </c>
      <c r="F12" s="3" t="s">
        <v>51</v>
      </c>
      <c r="G12" s="0" t="n">
        <v>123</v>
      </c>
      <c r="H12" s="0" t="n">
        <v>1418.36</v>
      </c>
      <c r="I12" s="0" t="n">
        <v>1560.35</v>
      </c>
      <c r="J12" s="3" t="s">
        <v>40</v>
      </c>
      <c r="K12" s="0" t="n">
        <v>3.1</v>
      </c>
      <c r="L12" s="4" t="n">
        <f aca="false">I12*K12*1.18</f>
        <v>5707.7603</v>
      </c>
    </row>
    <row r="13" customFormat="false" ht="15" hidden="false" customHeight="false" outlineLevel="0" collapsed="false">
      <c r="A13" s="0" t="n">
        <v>10</v>
      </c>
      <c r="B13" s="0" t="s">
        <v>102</v>
      </c>
      <c r="C13" s="0" t="s">
        <v>41</v>
      </c>
      <c r="D13" s="6" t="n">
        <v>46027</v>
      </c>
      <c r="E13" s="3" t="s">
        <v>32</v>
      </c>
      <c r="F13" s="3" t="s">
        <v>51</v>
      </c>
      <c r="G13" s="0" t="n">
        <v>34</v>
      </c>
      <c r="H13" s="0" t="n">
        <v>1540.44</v>
      </c>
      <c r="I13" s="0" t="n">
        <v>1540.57</v>
      </c>
      <c r="J13" s="3" t="s">
        <v>95</v>
      </c>
      <c r="K13" s="0" t="n">
        <v>3.1</v>
      </c>
      <c r="L13" s="4" t="n">
        <f aca="false">I13*K13*1.18</f>
        <v>5635.40506</v>
      </c>
    </row>
    <row r="14" customFormat="false" ht="15" hidden="false" customHeight="false" outlineLevel="0" collapsed="false">
      <c r="A14" s="0" t="n">
        <v>11</v>
      </c>
      <c r="B14" s="0" t="s">
        <v>108</v>
      </c>
      <c r="C14" s="0" t="s">
        <v>41</v>
      </c>
      <c r="D14" s="6" t="n">
        <v>46027</v>
      </c>
      <c r="E14" s="3" t="s">
        <v>32</v>
      </c>
      <c r="F14" s="3" t="s">
        <v>43</v>
      </c>
      <c r="G14" s="0" t="n">
        <v>167</v>
      </c>
      <c r="H14" s="0" t="n">
        <v>625.84</v>
      </c>
      <c r="I14" s="0" t="n">
        <v>625.91</v>
      </c>
      <c r="J14" s="3" t="s">
        <v>114</v>
      </c>
      <c r="K14" s="0" t="n">
        <v>3.1</v>
      </c>
      <c r="L14" s="4" t="n">
        <f aca="false">I14*K14*1.18</f>
        <v>2289.57878</v>
      </c>
    </row>
    <row r="15" customFormat="false" ht="15" hidden="false" customHeight="false" outlineLevel="0" collapsed="false">
      <c r="A15" s="0" t="n">
        <v>12</v>
      </c>
      <c r="B15" s="0" t="s">
        <v>115</v>
      </c>
      <c r="C15" s="0" t="s">
        <v>41</v>
      </c>
      <c r="D15" s="6" t="n">
        <v>46027</v>
      </c>
      <c r="E15" s="3" t="s">
        <v>32</v>
      </c>
      <c r="F15" s="3" t="s">
        <v>51</v>
      </c>
      <c r="G15" s="0" t="n">
        <v>106</v>
      </c>
      <c r="H15" s="0" t="n">
        <v>431.08</v>
      </c>
      <c r="I15" s="0" t="n">
        <v>474.25</v>
      </c>
      <c r="J15" s="3" t="s">
        <v>95</v>
      </c>
      <c r="K15" s="0" t="n">
        <v>3.1</v>
      </c>
      <c r="L15" s="4" t="n">
        <f aca="false">I15*K15*1.18</f>
        <v>1734.8065</v>
      </c>
    </row>
    <row r="16" customFormat="false" ht="15" hidden="false" customHeight="false" outlineLevel="0" collapsed="false">
      <c r="A16" s="0" t="n">
        <v>13</v>
      </c>
      <c r="B16" s="0" t="s">
        <v>122</v>
      </c>
      <c r="C16" s="0" t="s">
        <v>41</v>
      </c>
      <c r="D16" s="6" t="n">
        <v>46027</v>
      </c>
      <c r="E16" s="3" t="s">
        <v>32</v>
      </c>
      <c r="F16" s="3" t="s">
        <v>51</v>
      </c>
      <c r="G16" s="0" t="n">
        <v>97</v>
      </c>
      <c r="H16" s="0" t="n">
        <v>1116.83</v>
      </c>
      <c r="I16" s="0" t="n">
        <v>1228.7</v>
      </c>
      <c r="J16" s="3" t="s">
        <v>80</v>
      </c>
      <c r="K16" s="0" t="n">
        <v>3.1</v>
      </c>
      <c r="L16" s="4" t="n">
        <f aca="false">I16*K16*1.18</f>
        <v>4494.5846</v>
      </c>
    </row>
    <row r="17" customFormat="false" ht="15" hidden="false" customHeight="false" outlineLevel="0" collapsed="false">
      <c r="A17" s="0" t="n">
        <v>14</v>
      </c>
      <c r="B17" s="0" t="s">
        <v>128</v>
      </c>
      <c r="C17" s="0" t="s">
        <v>29</v>
      </c>
      <c r="D17" s="6" t="n">
        <v>46027</v>
      </c>
      <c r="E17" s="3" t="s">
        <v>32</v>
      </c>
      <c r="F17" s="3" t="s">
        <v>51</v>
      </c>
      <c r="G17" s="0" t="n">
        <v>97</v>
      </c>
      <c r="H17" s="0" t="n">
        <v>2354.49</v>
      </c>
      <c r="I17" s="0" t="n">
        <v>3060.96</v>
      </c>
      <c r="J17" s="3" t="s">
        <v>40</v>
      </c>
      <c r="K17" s="0" t="n">
        <v>3.1</v>
      </c>
      <c r="L17" s="4" t="n">
        <f aca="false">I17*K17*1.18</f>
        <v>11196.99168</v>
      </c>
    </row>
    <row r="18" customFormat="false" ht="15" hidden="false" customHeight="false" outlineLevel="0" collapsed="false">
      <c r="I18" s="7" t="s">
        <v>619</v>
      </c>
      <c r="L18" s="7" t="n">
        <f aca="false">SUM(L4:L17)</f>
        <v>70887.4675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620</v>
      </c>
    </row>
    <row r="3" customFormat="false" ht="15" hidden="false" customHeight="false" outlineLevel="0" collapsed="false">
      <c r="A3" s="1" t="s">
        <v>621</v>
      </c>
      <c r="B3" s="1" t="s">
        <v>40</v>
      </c>
      <c r="C3" s="1" t="s">
        <v>95</v>
      </c>
      <c r="D3" s="1" t="s">
        <v>622</v>
      </c>
      <c r="E3" s="1" t="s">
        <v>623</v>
      </c>
    </row>
    <row r="4" customFormat="false" ht="15" hidden="false" customHeight="false" outlineLevel="0" collapsed="false">
      <c r="A4" s="0" t="s">
        <v>624</v>
      </c>
      <c r="B4" s="0" t="n">
        <v>3.1</v>
      </c>
      <c r="C4" s="0" t="n">
        <v>5.1</v>
      </c>
      <c r="D4" s="0" t="n">
        <v>3.55</v>
      </c>
    </row>
    <row r="5" customFormat="false" ht="15" hidden="false" customHeight="false" outlineLevel="0" collapsed="false">
      <c r="A5" s="0" t="s">
        <v>625</v>
      </c>
      <c r="B5" s="0" t="n">
        <v>2.05</v>
      </c>
      <c r="C5" s="0" t="n">
        <v>2.05</v>
      </c>
      <c r="D5" s="0" t="n">
        <v>2.05</v>
      </c>
      <c r="E5" s="0" t="n">
        <v>2.05</v>
      </c>
    </row>
    <row r="6" customFormat="false" ht="15" hidden="false" customHeight="false" outlineLevel="0" collapsed="false">
      <c r="A6" s="0" t="s">
        <v>626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627</v>
      </c>
      <c r="B8" s="1" t="s">
        <v>617</v>
      </c>
    </row>
    <row r="9" customFormat="false" ht="15" hidden="false" customHeight="false" outlineLevel="0" collapsed="false">
      <c r="A9" s="0" t="s">
        <v>40</v>
      </c>
      <c r="B9" s="0" t="n">
        <v>3</v>
      </c>
    </row>
    <row r="10" customFormat="false" ht="15" hidden="false" customHeight="false" outlineLevel="0" collapsed="false">
      <c r="A10" s="0" t="s">
        <v>95</v>
      </c>
      <c r="B10" s="0" t="n">
        <v>3</v>
      </c>
    </row>
    <row r="11" customFormat="false" ht="15" hidden="false" customHeight="false" outlineLevel="0" collapsed="false">
      <c r="A11" s="0" t="s">
        <v>80</v>
      </c>
      <c r="B11" s="0" t="n">
        <v>3</v>
      </c>
    </row>
    <row r="12" customFormat="false" ht="15" hidden="false" customHeight="false" outlineLevel="0" collapsed="false">
      <c r="A12" s="0" t="s">
        <v>274</v>
      </c>
      <c r="B12" s="0" t="n">
        <v>5</v>
      </c>
    </row>
    <row r="13" customFormat="false" ht="15" hidden="false" customHeight="false" outlineLevel="0" collapsed="false">
      <c r="A13" s="0" t="s">
        <v>114</v>
      </c>
      <c r="B13" s="0" t="n">
        <v>5</v>
      </c>
    </row>
    <row r="14" customFormat="false" ht="15" hidden="false" customHeight="false" outlineLevel="0" collapsed="false">
      <c r="A14" s="0" t="s">
        <v>504</v>
      </c>
      <c r="B14" s="0" t="n">
        <v>12</v>
      </c>
    </row>
    <row r="15" customFormat="false" ht="15" hidden="false" customHeight="false" outlineLevel="0" collapsed="false">
      <c r="A15" s="0" t="s">
        <v>71</v>
      </c>
      <c r="B15" s="0" t="n">
        <v>12</v>
      </c>
    </row>
    <row r="16" customFormat="false" ht="15" hidden="false" customHeight="false" outlineLevel="0" collapsed="false">
      <c r="A16" s="0" t="s">
        <v>628</v>
      </c>
      <c r="B16" s="0" t="n">
        <v>5</v>
      </c>
    </row>
    <row r="17" customFormat="false" ht="15" hidden="false" customHeight="false" outlineLevel="0" collapsed="false">
      <c r="A17" s="0" t="s">
        <v>629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5" t="s">
        <v>630</v>
      </c>
    </row>
    <row r="2" customFormat="false" ht="23.85" hidden="false" customHeight="false" outlineLevel="0" collapsed="false">
      <c r="A2" s="1" t="s">
        <v>631</v>
      </c>
      <c r="B2" s="1" t="s">
        <v>589</v>
      </c>
      <c r="C2" s="1" t="s">
        <v>632</v>
      </c>
      <c r="D2" s="1" t="s">
        <v>591</v>
      </c>
      <c r="E2" s="1" t="s">
        <v>633</v>
      </c>
      <c r="F2" s="1" t="s">
        <v>634</v>
      </c>
      <c r="G2" s="1" t="s">
        <v>635</v>
      </c>
      <c r="H2" s="1" t="s">
        <v>636</v>
      </c>
      <c r="I2" s="1" t="s">
        <v>637</v>
      </c>
    </row>
    <row r="3" customFormat="false" ht="15" hidden="false" customHeight="false" outlineLevel="0" collapsed="false">
      <c r="A3" s="0" t="n">
        <v>1</v>
      </c>
      <c r="B3" s="6" t="n">
        <v>46024</v>
      </c>
      <c r="C3" s="3" t="s">
        <v>29</v>
      </c>
      <c r="D3" s="3" t="s">
        <v>638</v>
      </c>
      <c r="E3" s="3" t="s">
        <v>639</v>
      </c>
      <c r="F3" s="3" t="s">
        <v>640</v>
      </c>
      <c r="G3" s="3" t="s">
        <v>641</v>
      </c>
      <c r="H3" s="4" t="n">
        <v>1090035.27</v>
      </c>
      <c r="I3" s="4" t="n">
        <f aca="false">H3*1.18</f>
        <v>1286241.6186</v>
      </c>
    </row>
    <row r="4" customFormat="false" ht="15" hidden="false" customHeight="false" outlineLevel="0" collapsed="false">
      <c r="A4" s="0" t="n">
        <v>2</v>
      </c>
      <c r="B4" s="6" t="n">
        <v>46024</v>
      </c>
      <c r="C4" s="3" t="s">
        <v>29</v>
      </c>
      <c r="D4" s="3" t="s">
        <v>642</v>
      </c>
      <c r="E4" s="3" t="s">
        <v>639</v>
      </c>
      <c r="F4" s="3" t="s">
        <v>640</v>
      </c>
      <c r="G4" s="3" t="s">
        <v>641</v>
      </c>
      <c r="H4" s="4" t="n">
        <v>1090035.27</v>
      </c>
      <c r="I4" s="4" t="n">
        <f aca="false">H4*1.18</f>
        <v>1286241.6186</v>
      </c>
    </row>
    <row r="5" customFormat="false" ht="15" hidden="false" customHeight="false" outlineLevel="0" collapsed="false">
      <c r="F5" s="7" t="s">
        <v>599</v>
      </c>
      <c r="H5" s="7" t="n">
        <f aca="false">SUM(H3:H4)</f>
        <v>2180070.54</v>
      </c>
      <c r="I5" s="7" t="n">
        <f aca="false">SUM(I3:I4)</f>
        <v>2572483.2372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