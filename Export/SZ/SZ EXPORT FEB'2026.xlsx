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X" sheetId="1" state="visible" r:id="rId3"/>
    <sheet name="SC (MEERA)" sheetId="2" state="visible" r:id="rId4"/>
    <sheet name="DEM" sheetId="3" state="visible" r:id="rId5"/>
    <sheet name="OFFLOADING" sheetId="4" state="visible" r:id="rId6"/>
    <sheet name="Rates" sheetId="5" state="visible" r:id="rId7"/>
    <sheet name="DEBIT NOTE SHE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<sst xmlns="http://schemas.openxmlformats.org/spreadsheetml/2006/main" count="1949" uniqueCount="640">
  <si>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</si>
  <si>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</si>
  <si>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</si>
  <si>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</si>
  <si>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</si>
  <si>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</si>
  <si>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</si>
  <si>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</si>
  <si>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</si>
  <si>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</si>
  <si>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</si>
  <si>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</si>
  <si>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</si>
  <si>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</si>
  <si>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</si>
  <si>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</si>
  <si>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</si>
  <si>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</si>
  <si>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</si>
  <si>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</si>
  <si>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</si>
  <si>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</si>
  <si>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CAL</t>
  </si>
  <si>
    <t xml:space="preserve">FREE DAYS</t>
  </si>
  <si>
    <t xml:space="preserve">DEM</t>
  </si>
  <si>
    <t xml:space="preserve">DAYS</t>
  </si>
  <si>
    <t xml:space="preserve">RATES</t>
  </si>
  <si>
    <t xml:space="preserve">AMNT</t>
  </si>
  <si>
    <t xml:space="preserve">GROSS AMNT</t>
  </si>
  <si>
    <t xml:space="preserve">SZ0330</t>
  </si>
  <si>
    <t xml:space="preserve">772-87731029</t>
  </si>
  <si>
    <t xml:space="preserve">P</t>
  </si>
  <si>
    <t xml:space="preserve">DEL</t>
  </si>
  <si>
    <t xml:space="preserve">FRU</t>
  </si>
  <si>
    <t xml:space="preserve">13:39:00</t>
  </si>
  <si>
    <t xml:space="preserve">18:24:00</t>
  </si>
  <si>
    <t xml:space="preserve">18:41:00</t>
  </si>
  <si>
    <t xml:space="preserve">PMC63180SZ</t>
  </si>
  <si>
    <t xml:space="preserve">09:02:00</t>
  </si>
  <si>
    <t xml:space="preserve">CONSOL SHIPMENT</t>
  </si>
  <si>
    <t xml:space="preserve">GEN</t>
  </si>
  <si>
    <t xml:space="preserve">SZ0332</t>
  </si>
  <si>
    <t xml:space="preserve">772-62842384</t>
  </si>
  <si>
    <t xml:space="preserve">15:05:00</t>
  </si>
  <si>
    <t xml:space="preserve">02:48:00</t>
  </si>
  <si>
    <t xml:space="preserve">21:53:00</t>
  </si>
  <si>
    <t xml:space="preserve">PMC46410SZ</t>
  </si>
  <si>
    <t xml:space="preserve">10:32:00</t>
  </si>
  <si>
    <t xml:space="preserve">MACHINERY PARTS</t>
  </si>
  <si>
    <t xml:space="preserve">772-48864543</t>
  </si>
  <si>
    <t xml:space="preserve">A</t>
  </si>
  <si>
    <t xml:space="preserve">DYU</t>
  </si>
  <si>
    <t xml:space="preserve">15:13:00</t>
  </si>
  <si>
    <t xml:space="preserve">11:25:00</t>
  </si>
  <si>
    <t xml:space="preserve">06:40:00</t>
  </si>
  <si>
    <t xml:space="preserve">PMC97075SZ</t>
  </si>
  <si>
    <t xml:space="preserve">09:49:00</t>
  </si>
  <si>
    <t xml:space="preserve">TEXTILES</t>
  </si>
  <si>
    <t xml:space="preserve">772-57153673</t>
  </si>
  <si>
    <t xml:space="preserve">09:57:00</t>
  </si>
  <si>
    <t xml:space="preserve">23:44:00</t>
  </si>
  <si>
    <t xml:space="preserve">PMC18436SZ</t>
  </si>
  <si>
    <t xml:space="preserve">11:36:00</t>
  </si>
  <si>
    <t xml:space="preserve">772-87868962</t>
  </si>
  <si>
    <t xml:space="preserve">19:29:00</t>
  </si>
  <si>
    <t xml:space="preserve">20:18:00</t>
  </si>
  <si>
    <t xml:space="preserve">20:03:00</t>
  </si>
  <si>
    <t xml:space="preserve">PMC80671SZ</t>
  </si>
  <si>
    <t xml:space="preserve">08:57:00</t>
  </si>
  <si>
    <t xml:space="preserve">ELECTRONICS</t>
  </si>
  <si>
    <t xml:space="preserve">772-74930267</t>
  </si>
  <si>
    <t xml:space="preserve">16:48:00</t>
  </si>
  <si>
    <t xml:space="preserve">15:20:00</t>
  </si>
  <si>
    <t xml:space="preserve">19:21:00</t>
  </si>
  <si>
    <t xml:space="preserve">BT3934**</t>
  </si>
  <si>
    <t xml:space="preserve">06:53:00</t>
  </si>
  <si>
    <t xml:space="preserve">PHARMACEUTICALS</t>
  </si>
  <si>
    <t xml:space="preserve">772-25714431</t>
  </si>
  <si>
    <t xml:space="preserve">14:46:00</t>
  </si>
  <si>
    <t xml:space="preserve">07:33:00</t>
  </si>
  <si>
    <t xml:space="preserve">05:53:00</t>
  </si>
  <si>
    <t xml:space="preserve">PMC26914SZ</t>
  </si>
  <si>
    <t xml:space="preserve">05:11:00</t>
  </si>
  <si>
    <t xml:space="preserve">SHOES</t>
  </si>
  <si>
    <t xml:space="preserve">772-45590959</t>
  </si>
  <si>
    <t xml:space="preserve">TAS</t>
  </si>
  <si>
    <t xml:space="preserve">15:06:00</t>
  </si>
  <si>
    <t xml:space="preserve">01:11:00</t>
  </si>
  <si>
    <t xml:space="preserve">06:23:00</t>
  </si>
  <si>
    <t xml:space="preserve">PMC27046SZ</t>
  </si>
  <si>
    <t xml:space="preserve">03:50:00</t>
  </si>
  <si>
    <t xml:space="preserve">GARMENTS</t>
  </si>
  <si>
    <t xml:space="preserve">DGR</t>
  </si>
  <si>
    <t xml:space="preserve">772-85530643</t>
  </si>
  <si>
    <t xml:space="preserve">09:59:00</t>
  </si>
  <si>
    <t xml:space="preserve">21:24:00</t>
  </si>
  <si>
    <t xml:space="preserve">20:31:00</t>
  </si>
  <si>
    <t xml:space="preserve">BT2929**</t>
  </si>
  <si>
    <t xml:space="preserve">01:44:00</t>
  </si>
  <si>
    <t xml:space="preserve">HANDICRAFTS</t>
  </si>
  <si>
    <t xml:space="preserve">SPL</t>
  </si>
  <si>
    <t xml:space="preserve">772-86438729</t>
  </si>
  <si>
    <t xml:space="preserve">16:37:00</t>
  </si>
  <si>
    <t xml:space="preserve">01:35:00</t>
  </si>
  <si>
    <t xml:space="preserve">13:30:00</t>
  </si>
  <si>
    <t xml:space="preserve">BT8082**</t>
  </si>
  <si>
    <t xml:space="preserve">11:15:00</t>
  </si>
  <si>
    <t xml:space="preserve">772-85778602</t>
  </si>
  <si>
    <t xml:space="preserve">23:32:00</t>
  </si>
  <si>
    <t xml:space="preserve">08:08:00</t>
  </si>
  <si>
    <t xml:space="preserve">05:36:00</t>
  </si>
  <si>
    <t xml:space="preserve">BT3879**</t>
  </si>
  <si>
    <t xml:space="preserve">06:55:00</t>
  </si>
  <si>
    <t xml:space="preserve">PERISHABLE FOOD</t>
  </si>
  <si>
    <t xml:space="preserve">772-89977268</t>
  </si>
  <si>
    <t xml:space="preserve">23:43:00</t>
  </si>
  <si>
    <t xml:space="preserve">13:53:00</t>
  </si>
  <si>
    <t xml:space="preserve">20:17:00</t>
  </si>
  <si>
    <t xml:space="preserve">BT6400**</t>
  </si>
  <si>
    <t xml:space="preserve">03:26:00</t>
  </si>
  <si>
    <t xml:space="preserve">772-55850286</t>
  </si>
  <si>
    <t xml:space="preserve">13:01:00</t>
  </si>
  <si>
    <t xml:space="preserve">13:54:00</t>
  </si>
  <si>
    <t xml:space="preserve">14:07:00</t>
  </si>
  <si>
    <t xml:space="preserve">BT7117**</t>
  </si>
  <si>
    <t xml:space="preserve">05:45:00</t>
  </si>
  <si>
    <t xml:space="preserve">772-98909226</t>
  </si>
  <si>
    <t xml:space="preserve">19:44:00</t>
  </si>
  <si>
    <t xml:space="preserve">11:22:00</t>
  </si>
  <si>
    <t xml:space="preserve">22:24:00</t>
  </si>
  <si>
    <t xml:space="preserve">PMC53560SZ</t>
  </si>
  <si>
    <t xml:space="preserve">11:14:00</t>
  </si>
  <si>
    <t xml:space="preserve">772-22666197</t>
  </si>
  <si>
    <t xml:space="preserve">08:46:00</t>
  </si>
  <si>
    <t xml:space="preserve">22:08:00</t>
  </si>
  <si>
    <t xml:space="preserve">21:07:00</t>
  </si>
  <si>
    <t xml:space="preserve">BT6046**</t>
  </si>
  <si>
    <t xml:space="preserve">10:54:00</t>
  </si>
  <si>
    <t xml:space="preserve">772-15074742</t>
  </si>
  <si>
    <t xml:space="preserve">21:50:00</t>
  </si>
  <si>
    <t xml:space="preserve">11:18:00</t>
  </si>
  <si>
    <t xml:space="preserve">PMC23212SZ</t>
  </si>
  <si>
    <t xml:space="preserve">07:58:00</t>
  </si>
  <si>
    <t xml:space="preserve">SURGICAL GOODS</t>
  </si>
  <si>
    <t xml:space="preserve">AVI</t>
  </si>
  <si>
    <t xml:space="preserve">772-22204815</t>
  </si>
  <si>
    <t xml:space="preserve">19:57:00</t>
  </si>
  <si>
    <t xml:space="preserve">06:31:00</t>
  </si>
  <si>
    <t xml:space="preserve">21:10:00</t>
  </si>
  <si>
    <t xml:space="preserve">PMC56862SZ</t>
  </si>
  <si>
    <t xml:space="preserve">12:45:00</t>
  </si>
  <si>
    <t xml:space="preserve">TRM</t>
  </si>
  <si>
    <t xml:space="preserve">772-93855820</t>
  </si>
  <si>
    <t xml:space="preserve">10:00:00</t>
  </si>
  <si>
    <t xml:space="preserve">16:55:00</t>
  </si>
  <si>
    <t xml:space="preserve">15:12:00</t>
  </si>
  <si>
    <t xml:space="preserve">BT5928**</t>
  </si>
  <si>
    <t xml:space="preserve">06:37:00</t>
  </si>
  <si>
    <t xml:space="preserve">772-22167094</t>
  </si>
  <si>
    <t xml:space="preserve">12:31:00</t>
  </si>
  <si>
    <t xml:space="preserve">14:34:00</t>
  </si>
  <si>
    <t xml:space="preserve">12:29:00</t>
  </si>
  <si>
    <t xml:space="preserve">PMC49275SZ</t>
  </si>
  <si>
    <t xml:space="preserve">12:55:00</t>
  </si>
  <si>
    <t xml:space="preserve">COTTON YARN</t>
  </si>
  <si>
    <t xml:space="preserve">772-95271643</t>
  </si>
  <si>
    <t xml:space="preserve">16:56:00</t>
  </si>
  <si>
    <t xml:space="preserve">12:35:00</t>
  </si>
  <si>
    <t xml:space="preserve">18:33:00</t>
  </si>
  <si>
    <t xml:space="preserve">PMC21796SZ</t>
  </si>
  <si>
    <t xml:space="preserve">11:59:00</t>
  </si>
  <si>
    <t xml:space="preserve">MEDICINE</t>
  </si>
  <si>
    <t xml:space="preserve">772-75987580</t>
  </si>
  <si>
    <t xml:space="preserve">15:27:00</t>
  </si>
  <si>
    <t xml:space="preserve">15:47:00</t>
  </si>
  <si>
    <t xml:space="preserve">07:44:00</t>
  </si>
  <si>
    <t xml:space="preserve">PMC42457SZ</t>
  </si>
  <si>
    <t xml:space="preserve">02:33:00</t>
  </si>
  <si>
    <t xml:space="preserve">772-44041975</t>
  </si>
  <si>
    <t xml:space="preserve">21:38:00</t>
  </si>
  <si>
    <t xml:space="preserve">06:34:00</t>
  </si>
  <si>
    <t xml:space="preserve">19:02:00</t>
  </si>
  <si>
    <t xml:space="preserve">PMC49172SZ</t>
  </si>
  <si>
    <t xml:space="preserve">01:01:00</t>
  </si>
  <si>
    <t xml:space="preserve">LEATHER GOODS</t>
  </si>
  <si>
    <t xml:space="preserve">772-33451227</t>
  </si>
  <si>
    <t xml:space="preserve">15:30:00</t>
  </si>
  <si>
    <t xml:space="preserve">19:39:00</t>
  </si>
  <si>
    <t xml:space="preserve">PMC99259SZ</t>
  </si>
  <si>
    <t xml:space="preserve">12:14:00</t>
  </si>
  <si>
    <t xml:space="preserve">772-39339391</t>
  </si>
  <si>
    <t xml:space="preserve">20:25:00</t>
  </si>
  <si>
    <t xml:space="preserve">23:26:00</t>
  </si>
  <si>
    <t xml:space="preserve">14:39:00</t>
  </si>
  <si>
    <t xml:space="preserve">PMC54835SZ</t>
  </si>
  <si>
    <t xml:space="preserve">05:37:00</t>
  </si>
  <si>
    <t xml:space="preserve">772-21320339</t>
  </si>
  <si>
    <t xml:space="preserve">13:31:00</t>
  </si>
  <si>
    <t xml:space="preserve">09:42:00</t>
  </si>
  <si>
    <t xml:space="preserve">PMC83126SZ</t>
  </si>
  <si>
    <t xml:space="preserve">07:48:00</t>
  </si>
  <si>
    <t xml:space="preserve">772-13947465</t>
  </si>
  <si>
    <t xml:space="preserve">19:09:00</t>
  </si>
  <si>
    <t xml:space="preserve">01:00:00</t>
  </si>
  <si>
    <t xml:space="preserve">02:24:00</t>
  </si>
  <si>
    <t xml:space="preserve">PMC22575SZ</t>
  </si>
  <si>
    <t xml:space="preserve">02:45:00</t>
  </si>
  <si>
    <t xml:space="preserve">772-47159457</t>
  </si>
  <si>
    <t xml:space="preserve">12:10:00</t>
  </si>
  <si>
    <t xml:space="preserve">13:47:00</t>
  </si>
  <si>
    <t xml:space="preserve">10:23:00</t>
  </si>
  <si>
    <t xml:space="preserve">PMC17710SZ</t>
  </si>
  <si>
    <t xml:space="preserve">07:53:00</t>
  </si>
  <si>
    <t xml:space="preserve">772-85070613</t>
  </si>
  <si>
    <t xml:space="preserve">08:56:00</t>
  </si>
  <si>
    <t xml:space="preserve">20:22:00</t>
  </si>
  <si>
    <t xml:space="preserve">05:25:00</t>
  </si>
  <si>
    <t xml:space="preserve">PMC30251SZ</t>
  </si>
  <si>
    <t xml:space="preserve">02:36:00</t>
  </si>
  <si>
    <t xml:space="preserve">772-99808602</t>
  </si>
  <si>
    <t xml:space="preserve">17:18:00</t>
  </si>
  <si>
    <t xml:space="preserve">01:42:00</t>
  </si>
  <si>
    <t xml:space="preserve">PMC35397SZ</t>
  </si>
  <si>
    <t xml:space="preserve">10:55:00</t>
  </si>
  <si>
    <t xml:space="preserve">772-89948692</t>
  </si>
  <si>
    <t xml:space="preserve">08:33:00</t>
  </si>
  <si>
    <t xml:space="preserve">BT2023**</t>
  </si>
  <si>
    <t xml:space="preserve">12:54:00</t>
  </si>
  <si>
    <t xml:space="preserve">CONSOL CARGO</t>
  </si>
  <si>
    <t xml:space="preserve">772-40881005</t>
  </si>
  <si>
    <t xml:space="preserve">14:18:00</t>
  </si>
  <si>
    <t xml:space="preserve">00:13:00</t>
  </si>
  <si>
    <t xml:space="preserve">03:24:00</t>
  </si>
  <si>
    <t xml:space="preserve">PMC15480SZ</t>
  </si>
  <si>
    <t xml:space="preserve">01:52:00</t>
  </si>
  <si>
    <t xml:space="preserve">772-79467712</t>
  </si>
  <si>
    <t xml:space="preserve">03:35:00</t>
  </si>
  <si>
    <t xml:space="preserve">09:34:00</t>
  </si>
  <si>
    <t xml:space="preserve">PMC37806SZ</t>
  </si>
  <si>
    <t xml:space="preserve">05:41:00</t>
  </si>
  <si>
    <t xml:space="preserve">772-96701976</t>
  </si>
  <si>
    <t xml:space="preserve">09:25:00</t>
  </si>
  <si>
    <t xml:space="preserve">15:33:00</t>
  </si>
  <si>
    <t xml:space="preserve">12:39:00</t>
  </si>
  <si>
    <t xml:space="preserve">PMC58389SZ</t>
  </si>
  <si>
    <t xml:space="preserve">08:01:00</t>
  </si>
  <si>
    <t xml:space="preserve">772-47051443</t>
  </si>
  <si>
    <t xml:space="preserve">04:44:00</t>
  </si>
  <si>
    <t xml:space="preserve">19:43:00</t>
  </si>
  <si>
    <t xml:space="preserve">PMC55431SZ</t>
  </si>
  <si>
    <t xml:space="preserve">772-42054458</t>
  </si>
  <si>
    <t xml:space="preserve">22:54:00</t>
  </si>
  <si>
    <t xml:space="preserve">22:18:00</t>
  </si>
  <si>
    <t xml:space="preserve">16:38:00</t>
  </si>
  <si>
    <t xml:space="preserve">PMC21815SZ</t>
  </si>
  <si>
    <t xml:space="preserve">04:59:00</t>
  </si>
  <si>
    <t xml:space="preserve">MOBILE PHONES</t>
  </si>
  <si>
    <t xml:space="preserve">772-54864288</t>
  </si>
  <si>
    <t xml:space="preserve">15:42:00</t>
  </si>
  <si>
    <t xml:space="preserve">23:34:00</t>
  </si>
  <si>
    <t xml:space="preserve">11:38:00</t>
  </si>
  <si>
    <t xml:space="preserve">PMC15250SZ</t>
  </si>
  <si>
    <t xml:space="preserve">772-51640783</t>
  </si>
  <si>
    <t xml:space="preserve">22:22:00</t>
  </si>
  <si>
    <t xml:space="preserve">12:58:00</t>
  </si>
  <si>
    <t xml:space="preserve">22:10:00</t>
  </si>
  <si>
    <t xml:space="preserve">PMC43380SZ</t>
  </si>
  <si>
    <t xml:space="preserve">06:17:00</t>
  </si>
  <si>
    <t xml:space="preserve">772-53710222</t>
  </si>
  <si>
    <t xml:space="preserve">16:10:00</t>
  </si>
  <si>
    <t xml:space="preserve">06:08:00</t>
  </si>
  <si>
    <t xml:space="preserve">11:51:00</t>
  </si>
  <si>
    <t xml:space="preserve">PMC22266SZ</t>
  </si>
  <si>
    <t xml:space="preserve">07:18:00</t>
  </si>
  <si>
    <t xml:space="preserve">772-92029454</t>
  </si>
  <si>
    <t xml:space="preserve">12:38:00</t>
  </si>
  <si>
    <t xml:space="preserve">00:22:00</t>
  </si>
  <si>
    <t xml:space="preserve">04:06:00</t>
  </si>
  <si>
    <t xml:space="preserve">PMC22042SZ</t>
  </si>
  <si>
    <t xml:space="preserve">AUTO PARTS</t>
  </si>
  <si>
    <t xml:space="preserve">772-80461119</t>
  </si>
  <si>
    <t xml:space="preserve">19:42:00</t>
  </si>
  <si>
    <t xml:space="preserve">04:41:00</t>
  </si>
  <si>
    <t xml:space="preserve">19:32:00</t>
  </si>
  <si>
    <t xml:space="preserve">PMC98753SZ</t>
  </si>
  <si>
    <t xml:space="preserve">04:26:00</t>
  </si>
  <si>
    <t xml:space="preserve">772-34868975</t>
  </si>
  <si>
    <t xml:space="preserve">20:00:00</t>
  </si>
  <si>
    <t xml:space="preserve">21:18:00</t>
  </si>
  <si>
    <t xml:space="preserve">22:09:00</t>
  </si>
  <si>
    <t xml:space="preserve">BT1200**</t>
  </si>
  <si>
    <t xml:space="preserve">11:29:00</t>
  </si>
  <si>
    <t xml:space="preserve">772-49503344</t>
  </si>
  <si>
    <t xml:space="preserve">13:03:00</t>
  </si>
  <si>
    <t xml:space="preserve">10:58:00</t>
  </si>
  <si>
    <t xml:space="preserve">08:27:00</t>
  </si>
  <si>
    <t xml:space="preserve">PMC35539SZ</t>
  </si>
  <si>
    <t xml:space="preserve">02:20:00</t>
  </si>
  <si>
    <t xml:space="preserve">772-42386401</t>
  </si>
  <si>
    <t xml:space="preserve">23:01:00</t>
  </si>
  <si>
    <t xml:space="preserve">21:35:00</t>
  </si>
  <si>
    <t xml:space="preserve">14:00:00</t>
  </si>
  <si>
    <t xml:space="preserve">PMC78651SZ</t>
  </si>
  <si>
    <t xml:space="preserve">06:12:00</t>
  </si>
  <si>
    <t xml:space="preserve">772-70670274</t>
  </si>
  <si>
    <t xml:space="preserve">08:31:00</t>
  </si>
  <si>
    <t xml:space="preserve">20:38:00</t>
  </si>
  <si>
    <t xml:space="preserve">15:15:00</t>
  </si>
  <si>
    <t xml:space="preserve">PMC48164SZ</t>
  </si>
  <si>
    <t xml:space="preserve">06:03:00</t>
  </si>
  <si>
    <t xml:space="preserve">772-40885578</t>
  </si>
  <si>
    <t xml:space="preserve">08:12:00</t>
  </si>
  <si>
    <t xml:space="preserve">13:05:00</t>
  </si>
  <si>
    <t xml:space="preserve">19:55:00</t>
  </si>
  <si>
    <t xml:space="preserve">PMC44749SZ</t>
  </si>
  <si>
    <t xml:space="preserve">772-42175874</t>
  </si>
  <si>
    <t xml:space="preserve">10:20:00</t>
  </si>
  <si>
    <t xml:space="preserve">09:47:00</t>
  </si>
  <si>
    <t xml:space="preserve">05:17:00</t>
  </si>
  <si>
    <t xml:space="preserve">PMC34244SZ</t>
  </si>
  <si>
    <t xml:space="preserve">07:41:00</t>
  </si>
  <si>
    <t xml:space="preserve">772-97217105</t>
  </si>
  <si>
    <t xml:space="preserve">07:32:00</t>
  </si>
  <si>
    <t xml:space="preserve">14:37:00</t>
  </si>
  <si>
    <t xml:space="preserve">PMC60178SZ</t>
  </si>
  <si>
    <t xml:space="preserve">09:07:00</t>
  </si>
  <si>
    <t xml:space="preserve">772-88144127</t>
  </si>
  <si>
    <t xml:space="preserve">13:15:00</t>
  </si>
  <si>
    <t xml:space="preserve">03:25:00</t>
  </si>
  <si>
    <t xml:space="preserve">17:22:00</t>
  </si>
  <si>
    <t xml:space="preserve">PMC96898SZ</t>
  </si>
  <si>
    <t xml:space="preserve">09:17:00</t>
  </si>
  <si>
    <t xml:space="preserve">772-67530419</t>
  </si>
  <si>
    <t xml:space="preserve">22:26:00</t>
  </si>
  <si>
    <t xml:space="preserve">15:37:00</t>
  </si>
  <si>
    <t xml:space="preserve">04:12:00</t>
  </si>
  <si>
    <t xml:space="preserve">PMC85587SZ</t>
  </si>
  <si>
    <t xml:space="preserve">00:44:00</t>
  </si>
  <si>
    <t xml:space="preserve">772-88937671</t>
  </si>
  <si>
    <t xml:space="preserve">17:10:00</t>
  </si>
  <si>
    <t xml:space="preserve">20:42:00</t>
  </si>
  <si>
    <t xml:space="preserve">06:56:00</t>
  </si>
  <si>
    <t xml:space="preserve">PMC85254SZ</t>
  </si>
  <si>
    <t xml:space="preserve">02:16:00</t>
  </si>
  <si>
    <t xml:space="preserve">772-27584452</t>
  </si>
  <si>
    <t xml:space="preserve">22:02:00</t>
  </si>
  <si>
    <t xml:space="preserve">12:56:00</t>
  </si>
  <si>
    <t xml:space="preserve">23:50:00</t>
  </si>
  <si>
    <t xml:space="preserve">BT3142**</t>
  </si>
  <si>
    <t xml:space="preserve">03:07:00</t>
  </si>
  <si>
    <t xml:space="preserve">772-68206024</t>
  </si>
  <si>
    <t xml:space="preserve">13:07:00</t>
  </si>
  <si>
    <t xml:space="preserve">13:16:00</t>
  </si>
  <si>
    <t xml:space="preserve">14:14:00</t>
  </si>
  <si>
    <t xml:space="preserve">BT9705**</t>
  </si>
  <si>
    <t xml:space="preserve">772-12226469</t>
  </si>
  <si>
    <t xml:space="preserve">11:43:00</t>
  </si>
  <si>
    <t xml:space="preserve">22:14:00</t>
  </si>
  <si>
    <t xml:space="preserve">PMC65271SZ</t>
  </si>
  <si>
    <t xml:space="preserve">03:29:00</t>
  </si>
  <si>
    <t xml:space="preserve">772-98075695</t>
  </si>
  <si>
    <t xml:space="preserve">17:31:00</t>
  </si>
  <si>
    <t xml:space="preserve">20:56:00</t>
  </si>
  <si>
    <t xml:space="preserve">PMC29330SZ</t>
  </si>
  <si>
    <t xml:space="preserve">08:55:00</t>
  </si>
  <si>
    <t xml:space="preserve">772-99759938</t>
  </si>
  <si>
    <t xml:space="preserve">17:50:00</t>
  </si>
  <si>
    <t xml:space="preserve">11:50:00</t>
  </si>
  <si>
    <t xml:space="preserve">22:47:00</t>
  </si>
  <si>
    <t xml:space="preserve">PMC88089SZ</t>
  </si>
  <si>
    <t xml:space="preserve">10:41:00</t>
  </si>
  <si>
    <t xml:space="preserve">772-66359126</t>
  </si>
  <si>
    <t xml:space="preserve">10:33:00</t>
  </si>
  <si>
    <t xml:space="preserve">17:26:00</t>
  </si>
  <si>
    <t xml:space="preserve">BT9350**</t>
  </si>
  <si>
    <t xml:space="preserve">06:38:00</t>
  </si>
  <si>
    <t xml:space="preserve">772-94320165</t>
  </si>
  <si>
    <t xml:space="preserve">19:53:00</t>
  </si>
  <si>
    <t xml:space="preserve">10:04:00</t>
  </si>
  <si>
    <t xml:space="preserve">06:52:00</t>
  </si>
  <si>
    <t xml:space="preserve">BT7905**</t>
  </si>
  <si>
    <t xml:space="preserve">02:06:00</t>
  </si>
  <si>
    <t xml:space="preserve">772-33705713</t>
  </si>
  <si>
    <t xml:space="preserve">02:18:00</t>
  </si>
  <si>
    <t xml:space="preserve">10:17:00</t>
  </si>
  <si>
    <t xml:space="preserve">PMC60929SZ</t>
  </si>
  <si>
    <t xml:space="preserve">10:53:00</t>
  </si>
  <si>
    <t xml:space="preserve">772-69480208</t>
  </si>
  <si>
    <t xml:space="preserve">22:30:00</t>
  </si>
  <si>
    <t xml:space="preserve">20:11:00</t>
  </si>
  <si>
    <t xml:space="preserve">PMC59343SZ</t>
  </si>
  <si>
    <t xml:space="preserve">06:49:00</t>
  </si>
  <si>
    <t xml:space="preserve">772-12171684</t>
  </si>
  <si>
    <t xml:space="preserve">16:27:00</t>
  </si>
  <si>
    <t xml:space="preserve">17:30:00</t>
  </si>
  <si>
    <t xml:space="preserve">01:41:00</t>
  </si>
  <si>
    <t xml:space="preserve">PMC78256SZ</t>
  </si>
  <si>
    <t xml:space="preserve">10:50:00</t>
  </si>
  <si>
    <t xml:space="preserve">772-10641801</t>
  </si>
  <si>
    <t xml:space="preserve">15:57:00</t>
  </si>
  <si>
    <t xml:space="preserve">17:59:00</t>
  </si>
  <si>
    <t xml:space="preserve">BT7649**</t>
  </si>
  <si>
    <t xml:space="preserve">00:00:00</t>
  </si>
  <si>
    <t xml:space="preserve">772-80490519</t>
  </si>
  <si>
    <t xml:space="preserve">23:08:00</t>
  </si>
  <si>
    <t xml:space="preserve">15:45:00</t>
  </si>
  <si>
    <t xml:space="preserve">16:14:00</t>
  </si>
  <si>
    <t xml:space="preserve">PMC61263SZ</t>
  </si>
  <si>
    <t xml:space="preserve">02:25:00</t>
  </si>
  <si>
    <t xml:space="preserve">SPICES</t>
  </si>
  <si>
    <t xml:space="preserve">772-24360392</t>
  </si>
  <si>
    <t xml:space="preserve">07:15:00</t>
  </si>
  <si>
    <t xml:space="preserve">08:09:00</t>
  </si>
  <si>
    <t xml:space="preserve">PMC43327SZ</t>
  </si>
  <si>
    <t xml:space="preserve">06:15:00</t>
  </si>
  <si>
    <t xml:space="preserve">772-78177767</t>
  </si>
  <si>
    <t xml:space="preserve">22:21:00</t>
  </si>
  <si>
    <t xml:space="preserve">13:37:00</t>
  </si>
  <si>
    <t xml:space="preserve">19:20:00</t>
  </si>
  <si>
    <t xml:space="preserve">PMC87575SZ</t>
  </si>
  <si>
    <t xml:space="preserve">09:22:00</t>
  </si>
  <si>
    <t xml:space="preserve">772-12042159</t>
  </si>
  <si>
    <t xml:space="preserve">11:20:00</t>
  </si>
  <si>
    <t xml:space="preserve">04:27:00</t>
  </si>
  <si>
    <t xml:space="preserve">11:46:00</t>
  </si>
  <si>
    <t xml:space="preserve">BT9872**</t>
  </si>
  <si>
    <t xml:space="preserve">01:20:00</t>
  </si>
  <si>
    <t xml:space="preserve">772-64728264</t>
  </si>
  <si>
    <t xml:space="preserve">21:42:00</t>
  </si>
  <si>
    <t xml:space="preserve">03:27:00</t>
  </si>
  <si>
    <t xml:space="preserve">03:33:00</t>
  </si>
  <si>
    <t xml:space="preserve">PMC21767SZ</t>
  </si>
  <si>
    <t xml:space="preserve">10:42:00</t>
  </si>
  <si>
    <t xml:space="preserve">772-43426062</t>
  </si>
  <si>
    <t xml:space="preserve">14:09:00</t>
  </si>
  <si>
    <t xml:space="preserve">15:50:00</t>
  </si>
  <si>
    <t xml:space="preserve">04:17:00</t>
  </si>
  <si>
    <t xml:space="preserve">BT8475**</t>
  </si>
  <si>
    <t xml:space="preserve">772-65619287</t>
  </si>
  <si>
    <t xml:space="preserve">21:56:00</t>
  </si>
  <si>
    <t xml:space="preserve">15:44:00</t>
  </si>
  <si>
    <t xml:space="preserve">04:01:00</t>
  </si>
  <si>
    <t xml:space="preserve">PMC26942SZ</t>
  </si>
  <si>
    <t xml:space="preserve">00:46:00</t>
  </si>
  <si>
    <t xml:space="preserve">772-17164142</t>
  </si>
  <si>
    <t xml:space="preserve">15:11:00</t>
  </si>
  <si>
    <t xml:space="preserve">14:59:00</t>
  </si>
  <si>
    <t xml:space="preserve">BT8218**</t>
  </si>
  <si>
    <t xml:space="preserve">01:37:00</t>
  </si>
  <si>
    <t xml:space="preserve">PER</t>
  </si>
  <si>
    <t xml:space="preserve">772-87773485</t>
  </si>
  <si>
    <t xml:space="preserve">18:26:00</t>
  </si>
  <si>
    <t xml:space="preserve">18:29:00</t>
  </si>
  <si>
    <t xml:space="preserve">PMC13806SZ</t>
  </si>
  <si>
    <t xml:space="preserve">12:41:00</t>
  </si>
  <si>
    <t xml:space="preserve">772-14807964</t>
  </si>
  <si>
    <t xml:space="preserve">10:39:00</t>
  </si>
  <si>
    <t xml:space="preserve">11:37:00</t>
  </si>
  <si>
    <t xml:space="preserve">PMC80693SZ</t>
  </si>
  <si>
    <t xml:space="preserve">06:05:00</t>
  </si>
  <si>
    <t xml:space="preserve">772-76384304</t>
  </si>
  <si>
    <t xml:space="preserve">14:58:00</t>
  </si>
  <si>
    <t xml:space="preserve">13:04:00</t>
  </si>
  <si>
    <t xml:space="preserve">15:54:00</t>
  </si>
  <si>
    <t xml:space="preserve">PMC13321SZ</t>
  </si>
  <si>
    <t xml:space="preserve">00:39:00</t>
  </si>
  <si>
    <t xml:space="preserve">772-68835441</t>
  </si>
  <si>
    <t xml:space="preserve">12:26:00</t>
  </si>
  <si>
    <t xml:space="preserve">01:38:00</t>
  </si>
  <si>
    <t xml:space="preserve">PMC72449SZ</t>
  </si>
  <si>
    <t xml:space="preserve">05:32:00</t>
  </si>
  <si>
    <t xml:space="preserve">772-86433853</t>
  </si>
  <si>
    <t xml:space="preserve">18:12:00</t>
  </si>
  <si>
    <t xml:space="preserve">00:09:00</t>
  </si>
  <si>
    <t xml:space="preserve">23:00:00</t>
  </si>
  <si>
    <t xml:space="preserve">PMC43574SZ</t>
  </si>
  <si>
    <t xml:space="preserve">772-58986294</t>
  </si>
  <si>
    <t xml:space="preserve">09:48:00</t>
  </si>
  <si>
    <t xml:space="preserve">03:11:00</t>
  </si>
  <si>
    <t xml:space="preserve">16:30:00</t>
  </si>
  <si>
    <t xml:space="preserve">BT1763**</t>
  </si>
  <si>
    <t xml:space="preserve">08:50:00</t>
  </si>
  <si>
    <t xml:space="preserve">772-37302729</t>
  </si>
  <si>
    <t xml:space="preserve">12:42:00</t>
  </si>
  <si>
    <t xml:space="preserve">00:15:00</t>
  </si>
  <si>
    <t xml:space="preserve">23:52:00</t>
  </si>
  <si>
    <t xml:space="preserve">BT8845**</t>
  </si>
  <si>
    <t xml:space="preserve">04:24:00</t>
  </si>
  <si>
    <t xml:space="preserve">772-71113947</t>
  </si>
  <si>
    <t xml:space="preserve">16:21:00</t>
  </si>
  <si>
    <t xml:space="preserve">01:50:00</t>
  </si>
  <si>
    <t xml:space="preserve">BT6186**</t>
  </si>
  <si>
    <t xml:space="preserve">11:12:00</t>
  </si>
  <si>
    <t xml:space="preserve">772-54557749</t>
  </si>
  <si>
    <t xml:space="preserve">08:17:00</t>
  </si>
  <si>
    <t xml:space="preserve">07:38:00</t>
  </si>
  <si>
    <t xml:space="preserve">BT5055**</t>
  </si>
  <si>
    <t xml:space="preserve">10:03:00</t>
  </si>
  <si>
    <t xml:space="preserve">772-25702994</t>
  </si>
  <si>
    <t xml:space="preserve">10:36:00</t>
  </si>
  <si>
    <t xml:space="preserve">14:16:00</t>
  </si>
  <si>
    <t xml:space="preserve">20:04:00</t>
  </si>
  <si>
    <t xml:space="preserve">BT4499**</t>
  </si>
  <si>
    <t xml:space="preserve">02:08:00</t>
  </si>
  <si>
    <t xml:space="preserve">772-31872406</t>
  </si>
  <si>
    <t xml:space="preserve">16:58:00</t>
  </si>
  <si>
    <t xml:space="preserve">11:05:00</t>
  </si>
  <si>
    <t xml:space="preserve">00:40:00</t>
  </si>
  <si>
    <t xml:space="preserve">PMC97880SZ</t>
  </si>
  <si>
    <t xml:space="preserve">772-46054370</t>
  </si>
  <si>
    <t xml:space="preserve">19:08:00</t>
  </si>
  <si>
    <t xml:space="preserve">00:54:00</t>
  </si>
  <si>
    <t xml:space="preserve">22:51:00</t>
  </si>
  <si>
    <t xml:space="preserve">PMC14311SZ</t>
  </si>
  <si>
    <t xml:space="preserve">772-45778261</t>
  </si>
  <si>
    <t xml:space="preserve">14:33:00</t>
  </si>
  <si>
    <t xml:space="preserve">08:26:00</t>
  </si>
  <si>
    <t xml:space="preserve">12:27:00</t>
  </si>
  <si>
    <t xml:space="preserve">PMC29814SZ</t>
  </si>
  <si>
    <t xml:space="preserve">02:50:00</t>
  </si>
  <si>
    <t xml:space="preserve">VUN</t>
  </si>
  <si>
    <t xml:space="preserve">772-76994454</t>
  </si>
  <si>
    <t xml:space="preserve">17:42:00</t>
  </si>
  <si>
    <t xml:space="preserve">16:47:00</t>
  </si>
  <si>
    <t xml:space="preserve">PMC86575SZ</t>
  </si>
  <si>
    <t xml:space="preserve">10:57:00</t>
  </si>
  <si>
    <t xml:space="preserve">772-89751928</t>
  </si>
  <si>
    <t xml:space="preserve">11:35:00</t>
  </si>
  <si>
    <t xml:space="preserve">22:52:00</t>
  </si>
  <si>
    <t xml:space="preserve">21:41:00</t>
  </si>
  <si>
    <t xml:space="preserve">PMC79558SZ</t>
  </si>
  <si>
    <t xml:space="preserve">02:02:00</t>
  </si>
  <si>
    <t xml:space="preserve">772-64485227</t>
  </si>
  <si>
    <t xml:space="preserve">08:42:00</t>
  </si>
  <si>
    <t xml:space="preserve">17:14:00</t>
  </si>
  <si>
    <t xml:space="preserve">PMC27990SZ</t>
  </si>
  <si>
    <t xml:space="preserve">772-46000026</t>
  </si>
  <si>
    <t xml:space="preserve">13:29:00</t>
  </si>
  <si>
    <t xml:space="preserve">16:46:00</t>
  </si>
  <si>
    <t xml:space="preserve">02:56:00</t>
  </si>
  <si>
    <t xml:space="preserve">PMC43467SZ</t>
  </si>
  <si>
    <t xml:space="preserve">02:55:00</t>
  </si>
  <si>
    <t xml:space="preserve">772-43202955</t>
  </si>
  <si>
    <t xml:space="preserve">06:46:00</t>
  </si>
  <si>
    <t xml:space="preserve">PMC18037SZ</t>
  </si>
  <si>
    <t xml:space="preserve">772-19691841</t>
  </si>
  <si>
    <t xml:space="preserve">13:57:00</t>
  </si>
  <si>
    <t xml:space="preserve">17:13:00</t>
  </si>
  <si>
    <t xml:space="preserve">18:13:00</t>
  </si>
  <si>
    <t xml:space="preserve">PMC28709SZ</t>
  </si>
  <si>
    <t xml:space="preserve">11:45:00</t>
  </si>
  <si>
    <t xml:space="preserve">772-37672353</t>
  </si>
  <si>
    <t xml:space="preserve">17:27:00</t>
  </si>
  <si>
    <t xml:space="preserve">03:20:00</t>
  </si>
  <si>
    <t xml:space="preserve">18:11:00</t>
  </si>
  <si>
    <t xml:space="preserve">PMC11005SZ</t>
  </si>
  <si>
    <t xml:space="preserve">00:06:00</t>
  </si>
  <si>
    <t xml:space="preserve">772-27906418</t>
  </si>
  <si>
    <t xml:space="preserve">16:41:00</t>
  </si>
  <si>
    <t xml:space="preserve">11:30:00</t>
  </si>
  <si>
    <t xml:space="preserve">PMC74511SZ</t>
  </si>
  <si>
    <t xml:space="preserve">08:06:00</t>
  </si>
  <si>
    <t xml:space="preserve">772-24884520</t>
  </si>
  <si>
    <t xml:space="preserve">10:31:00</t>
  </si>
  <si>
    <t xml:space="preserve">23:02:00</t>
  </si>
  <si>
    <t xml:space="preserve">PMC32887SZ</t>
  </si>
  <si>
    <t xml:space="preserve">09:33:00</t>
  </si>
  <si>
    <t xml:space="preserve">VAL</t>
  </si>
  <si>
    <t xml:space="preserve">772-74848936</t>
  </si>
  <si>
    <t xml:space="preserve">09:32:00</t>
  </si>
  <si>
    <t xml:space="preserve">PMC80741SZ</t>
  </si>
  <si>
    <t xml:space="preserve">772-40656038</t>
  </si>
  <si>
    <t xml:space="preserve">21:12:00</t>
  </si>
  <si>
    <t xml:space="preserve">PMC15300SZ</t>
  </si>
  <si>
    <t xml:space="preserve">772-53848618</t>
  </si>
  <si>
    <t xml:space="preserve">03:10:00</t>
  </si>
  <si>
    <t xml:space="preserve">16:33:00</t>
  </si>
  <si>
    <t xml:space="preserve">PMC16550SZ</t>
  </si>
  <si>
    <t xml:space="preserve">772-84987726</t>
  </si>
  <si>
    <t xml:space="preserve">14:52:00</t>
  </si>
  <si>
    <t xml:space="preserve">05:58:00</t>
  </si>
  <si>
    <t xml:space="preserve">19:58:00</t>
  </si>
  <si>
    <t xml:space="preserve">BT4295**</t>
  </si>
  <si>
    <t xml:space="preserve">07:55:00</t>
  </si>
  <si>
    <t xml:space="preserve">SERVICE CHALLAN EXPORT</t>
  </si>
  <si>
    <t xml:space="preserve">CARRIER:SZ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</si>
  <si>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</si>
  <si>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</si>
  <si>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</si>
  <si>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</si>
  <si>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</si>
  <si>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</si>
  <si>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</si>
  <si>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</si>
  <si>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</si>
  <si>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</si>
  <si>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</si>
  <si>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</si>
  <si>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AWB NO</t>
  </si>
  <si>
    <t xml:space="preserve">RCS DATE</t>
  </si>
  <si>
    <t xml:space="preserve">RCS TIME</t>
  </si>
  <si>
    <t xml:space="preserve">ULD TIME</t>
  </si>
  <si>
    <t xml:space="preserve">BILLING SHC</t>
  </si>
  <si>
    <t xml:space="preserve">DEM DAYS</t>
  </si>
  <si>
    <t xml:space="preserve">AIR SIDE DEM AMT</t>
  </si>
  <si>
    <t xml:space="preserve">AIR SIDE DEM AMT INC GST</t>
  </si>
  <si>
    <t xml:space="preserve">OFFLOADING DETAILS SZ</t>
  </si>
  <si>
    <t xml:space="preserve">S.NO</t>
  </si>
  <si>
    <t xml:space="preserve">AWBNo</t>
  </si>
  <si>
    <t xml:space="preserve">Flight No</t>
  </si>
  <si>
    <t xml:space="preserve">Date</t>
  </si>
  <si>
    <t xml:space="preserve">ORG</t>
  </si>
  <si>
    <t xml:space="preserve">DES</t>
  </si>
  <si>
    <t xml:space="preserve">GRS WGT</t>
  </si>
  <si>
    <t xml:space="preserve">CH. WGT</t>
  </si>
  <si>
    <t xml:space="preserve">RATE</t>
  </si>
  <si>
    <t xml:space="preserve">AMOUNT (Inc.Tax)</t>
  </si>
  <si>
    <t xml:space="preserve">Grand Total</t>
  </si>
  <si>
    <t xml:space="preserve">RATE CARD - SZ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</si>
  <si>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</si>
  <si>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</si>
  <si>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</si>
  <si>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</si>
  <si>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</si>
  <si>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</si>
  <si>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</si>
  <si>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TPV</t>
  </si>
  <si>
    <t xml:space="preserve">EXPORTS HANDLING DEBIT NOTE</t>
  </si>
  <si>
    <t xml:space="preserve">S NO.</t>
  </si>
  <si>
    <t xml:space="preserve">FLIGHT NO.</t>
  </si>
  <si>
    <t xml:space="preserve">ACTUAL TONNAGE/RATE</t>
  </si>
  <si>
    <t xml:space="preserve">INVOICE TONNAGE/RATE</t>
  </si>
  <si>
    <t xml:space="preserve">DIFFERENCE</t>
  </si>
  <si>
    <t xml:space="preserve">AMOUNT(w/o.Tax)</t>
  </si>
  <si>
    <t xml:space="preserve">Amount (Inc.Tax)</t>
  </si>
  <si>
    <t xml:space="preserve">CARGO HANDLING DEBIT</t>
  </si>
  <si>
    <t xml:space="preserve">182016*10.05</t>
  </si>
  <si>
    <t xml:space="preserve">182016*3.48</t>
  </si>
  <si>
    <t xml:space="preserve">182016*6.57</t>
  </si>
  <si>
    <t xml:space="preserve">TRANSFER PALLETIZATION DIFF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</si>
</sst>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0" t="s">
        <v>29</v>
      </c>
      <c r="B2" s="2" t="n">
        <v>46054</v>
      </c>
      <c r="C2" s="3" t="s">
        <v>30</v>
      </c>
      <c r="D2" s="3" t="s">
        <v>31</v>
      </c>
      <c r="E2" s="3" t="s">
        <v>32</v>
      </c>
      <c r="F2" s="3" t="s">
        <v>33</v>
      </c>
      <c r="G2" s="0" t="n">
        <v>105</v>
      </c>
      <c r="H2" s="0" t="n">
        <v>2036.9</v>
      </c>
      <c r="I2" s="0" t="n">
        <v>2240.84</v>
      </c>
      <c r="J2" s="2" t="n">
        <v>46052</v>
      </c>
      <c r="K2" s="3" t="s">
        <v>34</v>
      </c>
      <c r="L2" s="2" t="n">
        <v>46052</v>
      </c>
      <c r="M2" s="3" t="s">
        <v>35</v>
      </c>
      <c r="N2" s="2" t="n">
        <v>46052</v>
      </c>
      <c r="O2" s="3" t="s">
        <v>36</v>
      </c>
      <c r="P2" s="3" t="s">
        <v>37</v>
      </c>
      <c r="Q2" s="2" t="n">
        <v>46054</v>
      </c>
      <c r="R2" s="3" t="s">
        <v>38</v>
      </c>
      <c r="S2" s="3" t="s">
        <v>39</v>
      </c>
      <c r="T2" s="3" t="s">
        <v>40</v>
      </c>
      <c r="U2" s="3" t="s">
        <v>40</v>
      </c>
      <c r="V2" s="3" t="s">
        <v>40</v>
      </c>
      <c r="W2" s="0" t="n">
        <v>2.0154</v>
      </c>
      <c r="X2" s="0" t="n">
        <v>1.5</v>
      </c>
      <c r="Y2" s="0" t="n">
        <v>0.5154</v>
      </c>
      <c r="Z2" s="0" t="n">
        <v>1</v>
      </c>
      <c r="AA2" s="0" t="n">
        <v>3</v>
      </c>
      <c r="AB2" s="4" t="n">
        <f aca="false">I2*AA2*Z2</f>
        <v>6722.52</v>
      </c>
      <c r="AC2" s="4" t="n">
        <f aca="false">AB2*1.18</f>
        <v>7932.5736</v>
      </c>
    </row>
    <row r="3" customFormat="false" ht="15" hidden="false" customHeight="false" outlineLevel="0" collapsed="false">
      <c r="A3" s="0" t="s">
        <v>41</v>
      </c>
      <c r="B3" s="2" t="n">
        <v>46054</v>
      </c>
      <c r="C3" s="3" t="s">
        <v>42</v>
      </c>
      <c r="D3" s="3" t="s">
        <v>31</v>
      </c>
      <c r="E3" s="3" t="s">
        <v>32</v>
      </c>
      <c r="F3" s="3" t="s">
        <v>33</v>
      </c>
      <c r="G3" s="0" t="n">
        <v>172</v>
      </c>
      <c r="H3" s="0" t="n">
        <v>362.55</v>
      </c>
      <c r="I3" s="0" t="n">
        <v>399.08</v>
      </c>
      <c r="J3" s="2" t="n">
        <v>46051</v>
      </c>
      <c r="K3" s="3" t="s">
        <v>43</v>
      </c>
      <c r="L3" s="2" t="n">
        <v>46051</v>
      </c>
      <c r="M3" s="3" t="s">
        <v>44</v>
      </c>
      <c r="N3" s="2" t="n">
        <v>46051</v>
      </c>
      <c r="O3" s="3" t="s">
        <v>45</v>
      </c>
      <c r="P3" s="3" t="s">
        <v>46</v>
      </c>
      <c r="Q3" s="2" t="n">
        <v>46054</v>
      </c>
      <c r="R3" s="3" t="s">
        <v>47</v>
      </c>
      <c r="S3" s="3" t="s">
        <v>48</v>
      </c>
      <c r="T3" s="3" t="s">
        <v>40</v>
      </c>
      <c r="U3" s="3" t="s">
        <v>40</v>
      </c>
      <c r="V3" s="3" t="s">
        <v>40</v>
      </c>
      <c r="W3" s="0" t="n">
        <v>3.7965</v>
      </c>
      <c r="X3" s="0" t="n">
        <v>1.5</v>
      </c>
      <c r="Y3" s="0" t="n">
        <v>2.2965</v>
      </c>
      <c r="Z3" s="0" t="n">
        <v>2</v>
      </c>
      <c r="AA3" s="0" t="n">
        <v>3</v>
      </c>
      <c r="AB3" s="4" t="n">
        <f aca="false">I3*AA3*Z3</f>
        <v>2394.48</v>
      </c>
      <c r="AC3" s="4" t="n">
        <f aca="false">AB3*1.18</f>
        <v>2825.4864</v>
      </c>
    </row>
    <row r="4" customFormat="false" ht="15" hidden="false" customHeight="false" outlineLevel="0" collapsed="false">
      <c r="A4" s="0" t="s">
        <v>41</v>
      </c>
      <c r="B4" s="2" t="n">
        <v>46054</v>
      </c>
      <c r="C4" s="3" t="s">
        <v>49</v>
      </c>
      <c r="D4" s="3" t="s">
        <v>50</v>
      </c>
      <c r="E4" s="3" t="s">
        <v>32</v>
      </c>
      <c r="F4" s="3" t="s">
        <v>51</v>
      </c>
      <c r="G4" s="0" t="n">
        <v>3</v>
      </c>
      <c r="H4" s="0" t="n">
        <v>217.51</v>
      </c>
      <c r="I4" s="0" t="n">
        <v>282.98</v>
      </c>
      <c r="J4" s="2" t="n">
        <v>46052</v>
      </c>
      <c r="K4" s="3" t="s">
        <v>52</v>
      </c>
      <c r="L4" s="2" t="n">
        <v>46052</v>
      </c>
      <c r="M4" s="3" t="s">
        <v>53</v>
      </c>
      <c r="N4" s="2" t="n">
        <v>46053</v>
      </c>
      <c r="O4" s="3" t="s">
        <v>54</v>
      </c>
      <c r="P4" s="3" t="s">
        <v>55</v>
      </c>
      <c r="Q4" s="2" t="n">
        <v>46054</v>
      </c>
      <c r="R4" s="3" t="s">
        <v>56</v>
      </c>
      <c r="S4" s="3" t="s">
        <v>57</v>
      </c>
      <c r="T4" s="3" t="s">
        <v>40</v>
      </c>
      <c r="U4" s="3" t="s">
        <v>40</v>
      </c>
      <c r="V4" s="3" t="s">
        <v>40</v>
      </c>
      <c r="W4" s="0" t="n">
        <v>5.1891</v>
      </c>
      <c r="X4" s="0" t="n">
        <v>1.5</v>
      </c>
      <c r="Y4" s="0" t="n">
        <v>3.6891</v>
      </c>
      <c r="Z4" s="0" t="n">
        <v>4</v>
      </c>
      <c r="AA4" s="0" t="n">
        <v>3</v>
      </c>
      <c r="AB4" s="4" t="n">
        <f aca="false">I4*AA4*Z4</f>
        <v>3395.76</v>
      </c>
      <c r="AC4" s="4" t="n">
        <f aca="false">AB4*1.18</f>
        <v>4006.9968</v>
      </c>
    </row>
    <row r="5" customFormat="false" ht="15" hidden="false" customHeight="false" outlineLevel="0" collapsed="false">
      <c r="A5" s="0" t="s">
        <v>29</v>
      </c>
      <c r="B5" s="2" t="n">
        <v>46055</v>
      </c>
      <c r="C5" s="3" t="s">
        <v>58</v>
      </c>
      <c r="D5" s="3" t="s">
        <v>31</v>
      </c>
      <c r="E5" s="3" t="s">
        <v>32</v>
      </c>
      <c r="F5" s="3" t="s">
        <v>51</v>
      </c>
      <c r="G5" s="0" t="n">
        <v>51</v>
      </c>
      <c r="H5" s="0" t="n">
        <v>2402.39</v>
      </c>
      <c r="I5" s="0" t="n">
        <v>2402.86</v>
      </c>
      <c r="J5" s="2" t="n">
        <v>46054</v>
      </c>
      <c r="K5" s="3" t="s">
        <v>45</v>
      </c>
      <c r="L5" s="2" t="n">
        <v>46054</v>
      </c>
      <c r="M5" s="3" t="s">
        <v>59</v>
      </c>
      <c r="N5" s="2" t="n">
        <v>46055</v>
      </c>
      <c r="O5" s="3" t="s">
        <v>60</v>
      </c>
      <c r="P5" s="3" t="s">
        <v>61</v>
      </c>
      <c r="Q5" s="2" t="n">
        <v>46055</v>
      </c>
      <c r="R5" s="3" t="s">
        <v>62</v>
      </c>
      <c r="S5" s="3" t="s">
        <v>57</v>
      </c>
      <c r="T5" s="3" t="s">
        <v>40</v>
      </c>
      <c r="U5" s="3" t="s">
        <v>40</v>
      </c>
      <c r="V5" s="3" t="s">
        <v>40</v>
      </c>
      <c r="W5" s="0" t="n">
        <v>0.3814</v>
      </c>
      <c r="X5" s="0" t="n">
        <v>1.5</v>
      </c>
      <c r="Y5" s="0" t="n">
        <v>-1.1186</v>
      </c>
      <c r="Z5" s="0" t="n">
        <v>-1</v>
      </c>
      <c r="AA5" s="0" t="n">
        <v>3</v>
      </c>
      <c r="AB5" s="4" t="n">
        <f aca="false">I5*AA5*Z5</f>
        <v>-7208.58</v>
      </c>
      <c r="AC5" s="4" t="n">
        <f aca="false">AB5*1.18</f>
        <v>-8506.1244</v>
      </c>
    </row>
    <row r="6" customFormat="false" ht="15" hidden="false" customHeight="false" outlineLevel="0" collapsed="false">
      <c r="A6" s="0" t="s">
        <v>29</v>
      </c>
      <c r="B6" s="2" t="n">
        <v>46055</v>
      </c>
      <c r="C6" s="3" t="s">
        <v>63</v>
      </c>
      <c r="D6" s="3" t="s">
        <v>31</v>
      </c>
      <c r="E6" s="3" t="s">
        <v>32</v>
      </c>
      <c r="F6" s="3" t="s">
        <v>33</v>
      </c>
      <c r="G6" s="0" t="n">
        <v>209</v>
      </c>
      <c r="H6" s="0" t="n">
        <v>1681.46</v>
      </c>
      <c r="I6" s="0" t="n">
        <v>1681.85</v>
      </c>
      <c r="J6" s="2" t="n">
        <v>46053</v>
      </c>
      <c r="K6" s="3" t="s">
        <v>64</v>
      </c>
      <c r="L6" s="2" t="n">
        <v>46053</v>
      </c>
      <c r="M6" s="3" t="s">
        <v>65</v>
      </c>
      <c r="N6" s="2" t="n">
        <v>46054</v>
      </c>
      <c r="O6" s="3" t="s">
        <v>66</v>
      </c>
      <c r="P6" s="3" t="s">
        <v>67</v>
      </c>
      <c r="Q6" s="2" t="n">
        <v>46055</v>
      </c>
      <c r="R6" s="3" t="s">
        <v>68</v>
      </c>
      <c r="S6" s="3" t="s">
        <v>69</v>
      </c>
      <c r="T6" s="3" t="s">
        <v>40</v>
      </c>
      <c r="U6" s="3" t="s">
        <v>40</v>
      </c>
      <c r="V6" s="3" t="s">
        <v>40</v>
      </c>
      <c r="W6" s="0" t="n">
        <v>1.7788</v>
      </c>
      <c r="X6" s="0" t="n">
        <v>1.5</v>
      </c>
      <c r="Y6" s="0" t="n">
        <v>0.2788</v>
      </c>
      <c r="Z6" s="0" t="n">
        <v>1</v>
      </c>
      <c r="AA6" s="0" t="n">
        <v>3</v>
      </c>
      <c r="AB6" s="4" t="n">
        <f aca="false">I6*AA6*Z6</f>
        <v>5045.55</v>
      </c>
      <c r="AC6" s="4" t="n">
        <f aca="false">AB6*1.18</f>
        <v>5953.749</v>
      </c>
    </row>
    <row r="7" customFormat="false" ht="15" hidden="false" customHeight="false" outlineLevel="0" collapsed="false">
      <c r="A7" s="0" t="s">
        <v>41</v>
      </c>
      <c r="B7" s="2" t="n">
        <v>46055</v>
      </c>
      <c r="C7" s="3" t="s">
        <v>70</v>
      </c>
      <c r="D7" s="3" t="s">
        <v>50</v>
      </c>
      <c r="E7" s="3" t="s">
        <v>32</v>
      </c>
      <c r="F7" s="3" t="s">
        <v>33</v>
      </c>
      <c r="G7" s="0" t="n">
        <v>105</v>
      </c>
      <c r="H7" s="0" t="n">
        <v>1516.75</v>
      </c>
      <c r="I7" s="0" t="n">
        <v>2275.54</v>
      </c>
      <c r="J7" s="2" t="n">
        <v>46053</v>
      </c>
      <c r="K7" s="3" t="s">
        <v>71</v>
      </c>
      <c r="L7" s="2" t="n">
        <v>46053</v>
      </c>
      <c r="M7" s="3" t="s">
        <v>72</v>
      </c>
      <c r="N7" s="2" t="n">
        <v>46053</v>
      </c>
      <c r="O7" s="3" t="s">
        <v>73</v>
      </c>
      <c r="P7" s="3" t="s">
        <v>74</v>
      </c>
      <c r="Q7" s="2" t="n">
        <v>46055</v>
      </c>
      <c r="R7" s="3" t="s">
        <v>75</v>
      </c>
      <c r="S7" s="3" t="s">
        <v>76</v>
      </c>
      <c r="T7" s="3" t="s">
        <v>40</v>
      </c>
      <c r="U7" s="3" t="s">
        <v>40</v>
      </c>
      <c r="V7" s="3" t="s">
        <v>40</v>
      </c>
      <c r="W7" s="0" t="n">
        <v>4.8625</v>
      </c>
      <c r="X7" s="0" t="n">
        <v>1.5</v>
      </c>
      <c r="Y7" s="0" t="n">
        <v>3.3625</v>
      </c>
      <c r="Z7" s="0" t="n">
        <v>3</v>
      </c>
      <c r="AA7" s="0" t="n">
        <v>3</v>
      </c>
      <c r="AB7" s="4" t="n">
        <f aca="false">I7*AA7*Z7</f>
        <v>20479.86</v>
      </c>
      <c r="AC7" s="4" t="n">
        <f aca="false">AB7*1.18</f>
        <v>24166.2348</v>
      </c>
    </row>
    <row r="8" customFormat="false" ht="15" hidden="false" customHeight="false" outlineLevel="0" collapsed="false">
      <c r="A8" s="0" t="s">
        <v>41</v>
      </c>
      <c r="B8" s="2" t="n">
        <v>46055</v>
      </c>
      <c r="C8" s="3" t="s">
        <v>77</v>
      </c>
      <c r="D8" s="3" t="s">
        <v>50</v>
      </c>
      <c r="E8" s="3" t="s">
        <v>32</v>
      </c>
      <c r="F8" s="3" t="s">
        <v>33</v>
      </c>
      <c r="G8" s="0" t="n">
        <v>132</v>
      </c>
      <c r="H8" s="0" t="n">
        <v>2082.18</v>
      </c>
      <c r="I8" s="0" t="n">
        <v>3123.35</v>
      </c>
      <c r="J8" s="2" t="n">
        <v>46054</v>
      </c>
      <c r="K8" s="3" t="s">
        <v>78</v>
      </c>
      <c r="L8" s="2" t="n">
        <v>46054</v>
      </c>
      <c r="M8" s="3" t="s">
        <v>79</v>
      </c>
      <c r="N8" s="2" t="n">
        <v>46055</v>
      </c>
      <c r="O8" s="3" t="s">
        <v>80</v>
      </c>
      <c r="P8" s="3" t="s">
        <v>81</v>
      </c>
      <c r="Q8" s="2" t="n">
        <v>46055</v>
      </c>
      <c r="R8" s="3" t="s">
        <v>82</v>
      </c>
      <c r="S8" s="3" t="s">
        <v>83</v>
      </c>
      <c r="T8" s="3" t="s">
        <v>40</v>
      </c>
      <c r="U8" s="3" t="s">
        <v>40</v>
      </c>
      <c r="V8" s="3" t="s">
        <v>40</v>
      </c>
      <c r="W8" s="0" t="n">
        <v>1.8131</v>
      </c>
      <c r="X8" s="0" t="n">
        <v>1.5</v>
      </c>
      <c r="Y8" s="0" t="n">
        <v>0.3131</v>
      </c>
      <c r="Z8" s="0" t="n">
        <v>1</v>
      </c>
      <c r="AA8" s="0" t="n">
        <v>3</v>
      </c>
      <c r="AB8" s="4" t="n">
        <f aca="false">I8*AA8*Z8</f>
        <v>9370.05</v>
      </c>
      <c r="AC8" s="4" t="n">
        <f aca="false">AB8*1.18</f>
        <v>11056.659</v>
      </c>
    </row>
    <row r="9" customFormat="false" ht="15" hidden="false" customHeight="false" outlineLevel="0" collapsed="false">
      <c r="A9" s="0" t="s">
        <v>29</v>
      </c>
      <c r="B9" s="2" t="n">
        <v>46056</v>
      </c>
      <c r="C9" s="3" t="s">
        <v>84</v>
      </c>
      <c r="D9" s="3" t="s">
        <v>31</v>
      </c>
      <c r="E9" s="3" t="s">
        <v>32</v>
      </c>
      <c r="F9" s="3" t="s">
        <v>85</v>
      </c>
      <c r="G9" s="0" t="n">
        <v>122</v>
      </c>
      <c r="H9" s="0" t="n">
        <v>2438.73</v>
      </c>
      <c r="I9" s="0" t="n">
        <v>3170.42</v>
      </c>
      <c r="J9" s="2" t="n">
        <v>46053</v>
      </c>
      <c r="K9" s="3" t="s">
        <v>86</v>
      </c>
      <c r="L9" s="2" t="n">
        <v>46053</v>
      </c>
      <c r="M9" s="3" t="s">
        <v>87</v>
      </c>
      <c r="N9" s="2" t="n">
        <v>46054</v>
      </c>
      <c r="O9" s="3" t="s">
        <v>88</v>
      </c>
      <c r="P9" s="3" t="s">
        <v>89</v>
      </c>
      <c r="Q9" s="2" t="n">
        <v>46056</v>
      </c>
      <c r="R9" s="3" t="s">
        <v>90</v>
      </c>
      <c r="S9" s="3" t="s">
        <v>91</v>
      </c>
      <c r="T9" s="3" t="s">
        <v>92</v>
      </c>
      <c r="U9" s="3" t="s">
        <v>92</v>
      </c>
      <c r="V9" s="3" t="s">
        <v>92</v>
      </c>
      <c r="W9" s="0" t="n">
        <v>3.5255</v>
      </c>
      <c r="X9" s="0" t="n">
        <v>1.5</v>
      </c>
      <c r="Y9" s="0" t="n">
        <v>2.0255</v>
      </c>
      <c r="Z9" s="0" t="n">
        <v>2</v>
      </c>
      <c r="AA9" s="0" t="n">
        <v>5</v>
      </c>
      <c r="AB9" s="4" t="n">
        <f aca="false">I9*AA9*Z9</f>
        <v>31704.2</v>
      </c>
      <c r="AC9" s="4" t="n">
        <f aca="false">AB9*1.18</f>
        <v>37410.956</v>
      </c>
    </row>
    <row r="10" customFormat="false" ht="15" hidden="false" customHeight="false" outlineLevel="0" collapsed="false">
      <c r="A10" s="0" t="s">
        <v>29</v>
      </c>
      <c r="B10" s="2" t="n">
        <v>46056</v>
      </c>
      <c r="C10" s="3" t="s">
        <v>93</v>
      </c>
      <c r="D10" s="3" t="s">
        <v>31</v>
      </c>
      <c r="E10" s="3" t="s">
        <v>32</v>
      </c>
      <c r="F10" s="3" t="s">
        <v>85</v>
      </c>
      <c r="G10" s="0" t="n">
        <v>182</v>
      </c>
      <c r="H10" s="0" t="n">
        <v>1724.2</v>
      </c>
      <c r="I10" s="0" t="n">
        <v>2586.74</v>
      </c>
      <c r="J10" s="2" t="n">
        <v>46053</v>
      </c>
      <c r="K10" s="3" t="s">
        <v>94</v>
      </c>
      <c r="L10" s="2" t="n">
        <v>46053</v>
      </c>
      <c r="M10" s="3" t="s">
        <v>95</v>
      </c>
      <c r="N10" s="2" t="n">
        <v>46054</v>
      </c>
      <c r="O10" s="3" t="s">
        <v>96</v>
      </c>
      <c r="P10" s="3" t="s">
        <v>97</v>
      </c>
      <c r="Q10" s="2" t="n">
        <v>46056</v>
      </c>
      <c r="R10" s="3" t="s">
        <v>98</v>
      </c>
      <c r="S10" s="3" t="s">
        <v>99</v>
      </c>
      <c r="T10" s="3" t="s">
        <v>100</v>
      </c>
      <c r="U10" s="3" t="s">
        <v>100</v>
      </c>
      <c r="V10" s="3" t="s">
        <v>100</v>
      </c>
      <c r="W10" s="0" t="n">
        <v>1.7042</v>
      </c>
      <c r="X10" s="0" t="n">
        <v>1.5</v>
      </c>
      <c r="Y10" s="0" t="n">
        <v>0.2042</v>
      </c>
      <c r="Z10" s="0" t="n">
        <v>1</v>
      </c>
      <c r="AA10" s="0" t="n">
        <v>3</v>
      </c>
      <c r="AB10" s="4" t="n">
        <f aca="false">I10*AA10*Z10</f>
        <v>7760.22</v>
      </c>
      <c r="AC10" s="4" t="n">
        <f aca="false">AB10*1.18</f>
        <v>9157.0596</v>
      </c>
    </row>
    <row r="11" customFormat="false" ht="15" hidden="false" customHeight="false" outlineLevel="0" collapsed="false">
      <c r="A11" s="0" t="s">
        <v>41</v>
      </c>
      <c r="B11" s="2" t="n">
        <v>46056</v>
      </c>
      <c r="C11" s="3" t="s">
        <v>101</v>
      </c>
      <c r="D11" s="3" t="s">
        <v>31</v>
      </c>
      <c r="E11" s="3" t="s">
        <v>32</v>
      </c>
      <c r="F11" s="3" t="s">
        <v>51</v>
      </c>
      <c r="G11" s="0" t="n">
        <v>171</v>
      </c>
      <c r="H11" s="0" t="n">
        <v>1220.17</v>
      </c>
      <c r="I11" s="0" t="n">
        <v>1220.31</v>
      </c>
      <c r="J11" s="2" t="n">
        <v>46054</v>
      </c>
      <c r="K11" s="3" t="s">
        <v>102</v>
      </c>
      <c r="L11" s="2" t="n">
        <v>46054</v>
      </c>
      <c r="M11" s="3" t="s">
        <v>103</v>
      </c>
      <c r="N11" s="2" t="n">
        <v>46055</v>
      </c>
      <c r="O11" s="3" t="s">
        <v>104</v>
      </c>
      <c r="P11" s="3" t="s">
        <v>105</v>
      </c>
      <c r="Q11" s="2" t="n">
        <v>46056</v>
      </c>
      <c r="R11" s="3" t="s">
        <v>106</v>
      </c>
      <c r="S11" s="3" t="s">
        <v>57</v>
      </c>
      <c r="T11" s="3" t="s">
        <v>92</v>
      </c>
      <c r="U11" s="3" t="s">
        <v>92</v>
      </c>
      <c r="V11" s="3" t="s">
        <v>92</v>
      </c>
      <c r="W11" s="0" t="n">
        <v>0.496</v>
      </c>
      <c r="X11" s="0" t="n">
        <v>1.5</v>
      </c>
      <c r="Y11" s="0" t="n">
        <v>-1.004</v>
      </c>
      <c r="Z11" s="0" t="n">
        <v>-1</v>
      </c>
      <c r="AA11" s="0" t="n">
        <v>5</v>
      </c>
      <c r="AB11" s="4" t="n">
        <f aca="false">I11*AA11*Z11</f>
        <v>-6101.55</v>
      </c>
      <c r="AC11" s="4" t="n">
        <f aca="false">AB11*1.18</f>
        <v>-7199.829</v>
      </c>
    </row>
    <row r="12" customFormat="false" ht="15" hidden="false" customHeight="false" outlineLevel="0" collapsed="false">
      <c r="A12" s="0" t="s">
        <v>41</v>
      </c>
      <c r="B12" s="2" t="n">
        <v>46056</v>
      </c>
      <c r="C12" s="3" t="s">
        <v>107</v>
      </c>
      <c r="D12" s="3" t="s">
        <v>31</v>
      </c>
      <c r="E12" s="3" t="s">
        <v>32</v>
      </c>
      <c r="F12" s="3" t="s">
        <v>85</v>
      </c>
      <c r="G12" s="0" t="n">
        <v>174</v>
      </c>
      <c r="H12" s="0" t="n">
        <v>2476.23</v>
      </c>
      <c r="I12" s="0" t="n">
        <v>2476.48</v>
      </c>
      <c r="J12" s="2" t="n">
        <v>46054</v>
      </c>
      <c r="K12" s="3" t="s">
        <v>108</v>
      </c>
      <c r="L12" s="2" t="n">
        <v>46055</v>
      </c>
      <c r="M12" s="3" t="s">
        <v>109</v>
      </c>
      <c r="N12" s="2" t="n">
        <v>46054</v>
      </c>
      <c r="O12" s="3" t="s">
        <v>110</v>
      </c>
      <c r="P12" s="3" t="s">
        <v>111</v>
      </c>
      <c r="Q12" s="2" t="n">
        <v>46056</v>
      </c>
      <c r="R12" s="3" t="s">
        <v>112</v>
      </c>
      <c r="S12" s="3" t="s">
        <v>113</v>
      </c>
      <c r="T12" s="3" t="s">
        <v>92</v>
      </c>
      <c r="U12" s="3" t="s">
        <v>92</v>
      </c>
      <c r="V12" s="3" t="s">
        <v>92</v>
      </c>
      <c r="W12" s="0" t="n">
        <v>0.6093</v>
      </c>
      <c r="X12" s="0" t="n">
        <v>1.5</v>
      </c>
      <c r="Y12" s="0" t="n">
        <v>-0.8907</v>
      </c>
      <c r="Z12" s="0" t="n">
        <v>-1</v>
      </c>
      <c r="AA12" s="0" t="n">
        <v>5</v>
      </c>
      <c r="AB12" s="4" t="n">
        <f aca="false">I12*AA12*Z12</f>
        <v>-12382.4</v>
      </c>
      <c r="AC12" s="4" t="n">
        <f aca="false">AB12*1.18</f>
        <v>-14611.232</v>
      </c>
    </row>
    <row r="13" customFormat="false" ht="15" hidden="false" customHeight="false" outlineLevel="0" collapsed="false">
      <c r="A13" s="0" t="s">
        <v>29</v>
      </c>
      <c r="B13" s="2" t="n">
        <v>46057</v>
      </c>
      <c r="C13" s="3" t="s">
        <v>114</v>
      </c>
      <c r="D13" s="3" t="s">
        <v>31</v>
      </c>
      <c r="E13" s="3" t="s">
        <v>32</v>
      </c>
      <c r="F13" s="3" t="s">
        <v>51</v>
      </c>
      <c r="G13" s="0" t="n">
        <v>40</v>
      </c>
      <c r="H13" s="0" t="n">
        <v>2138.42</v>
      </c>
      <c r="I13" s="0" t="n">
        <v>3208.04</v>
      </c>
      <c r="J13" s="2" t="n">
        <v>46054</v>
      </c>
      <c r="K13" s="3" t="s">
        <v>115</v>
      </c>
      <c r="L13" s="2" t="n">
        <v>46055</v>
      </c>
      <c r="M13" s="3" t="s">
        <v>116</v>
      </c>
      <c r="N13" s="2" t="n">
        <v>46054</v>
      </c>
      <c r="O13" s="3" t="s">
        <v>117</v>
      </c>
      <c r="P13" s="3" t="s">
        <v>118</v>
      </c>
      <c r="Q13" s="2" t="n">
        <v>46057</v>
      </c>
      <c r="R13" s="3" t="s">
        <v>119</v>
      </c>
      <c r="S13" s="3" t="s">
        <v>48</v>
      </c>
      <c r="T13" s="3" t="s">
        <v>40</v>
      </c>
      <c r="U13" s="3" t="s">
        <v>40</v>
      </c>
      <c r="V13" s="3" t="s">
        <v>40</v>
      </c>
      <c r="W13" s="0" t="n">
        <v>3.0553</v>
      </c>
      <c r="X13" s="0" t="n">
        <v>1.5</v>
      </c>
      <c r="Y13" s="0" t="n">
        <v>1.5553</v>
      </c>
      <c r="Z13" s="0" t="n">
        <v>2</v>
      </c>
      <c r="AA13" s="0" t="n">
        <v>3</v>
      </c>
      <c r="AB13" s="4" t="n">
        <f aca="false">I13*AA13*Z13</f>
        <v>19248.24</v>
      </c>
      <c r="AC13" s="4" t="n">
        <f aca="false">AB13*1.18</f>
        <v>22712.9232</v>
      </c>
    </row>
    <row r="14" customFormat="false" ht="15" hidden="false" customHeight="false" outlineLevel="0" collapsed="false">
      <c r="A14" s="0" t="s">
        <v>29</v>
      </c>
      <c r="B14" s="2" t="n">
        <v>46057</v>
      </c>
      <c r="C14" s="3" t="s">
        <v>120</v>
      </c>
      <c r="D14" s="3" t="s">
        <v>31</v>
      </c>
      <c r="E14" s="3" t="s">
        <v>32</v>
      </c>
      <c r="F14" s="3" t="s">
        <v>33</v>
      </c>
      <c r="G14" s="0" t="n">
        <v>17</v>
      </c>
      <c r="H14" s="0" t="n">
        <v>548.13</v>
      </c>
      <c r="I14" s="0" t="n">
        <v>548.47</v>
      </c>
      <c r="J14" s="2" t="n">
        <v>46054</v>
      </c>
      <c r="K14" s="3" t="s">
        <v>121</v>
      </c>
      <c r="L14" s="2" t="n">
        <v>46054</v>
      </c>
      <c r="M14" s="3" t="s">
        <v>122</v>
      </c>
      <c r="N14" s="2" t="n">
        <v>46054</v>
      </c>
      <c r="O14" s="3" t="s">
        <v>123</v>
      </c>
      <c r="P14" s="3" t="s">
        <v>124</v>
      </c>
      <c r="Q14" s="2" t="n">
        <v>46057</v>
      </c>
      <c r="R14" s="3" t="s">
        <v>125</v>
      </c>
      <c r="S14" s="3" t="s">
        <v>99</v>
      </c>
      <c r="T14" s="3" t="s">
        <v>40</v>
      </c>
      <c r="U14" s="3" t="s">
        <v>40</v>
      </c>
      <c r="V14" s="3" t="s">
        <v>40</v>
      </c>
      <c r="W14" s="0" t="n">
        <v>3.8377</v>
      </c>
      <c r="X14" s="0" t="n">
        <v>1.5</v>
      </c>
      <c r="Y14" s="0" t="n">
        <v>2.3377</v>
      </c>
      <c r="Z14" s="0" t="n">
        <v>2</v>
      </c>
      <c r="AA14" s="0" t="n">
        <v>3</v>
      </c>
      <c r="AB14" s="4" t="n">
        <f aca="false">I14*AA14*Z14</f>
        <v>3290.82</v>
      </c>
      <c r="AC14" s="4" t="n">
        <f aca="false">AB14*1.18</f>
        <v>3883.1676</v>
      </c>
    </row>
    <row r="15" customFormat="false" ht="15" hidden="false" customHeight="false" outlineLevel="0" collapsed="false">
      <c r="A15" s="0" t="s">
        <v>29</v>
      </c>
      <c r="B15" s="2" t="n">
        <v>46058</v>
      </c>
      <c r="C15" s="3" t="s">
        <v>126</v>
      </c>
      <c r="D15" s="3" t="s">
        <v>50</v>
      </c>
      <c r="E15" s="3" t="s">
        <v>32</v>
      </c>
      <c r="F15" s="3" t="s">
        <v>33</v>
      </c>
      <c r="G15" s="0" t="n">
        <v>207</v>
      </c>
      <c r="H15" s="0" t="n">
        <v>2799.99</v>
      </c>
      <c r="I15" s="0" t="n">
        <v>3640.13</v>
      </c>
      <c r="J15" s="2" t="n">
        <v>46055</v>
      </c>
      <c r="K15" s="3" t="s">
        <v>127</v>
      </c>
      <c r="L15" s="2" t="n">
        <v>46055</v>
      </c>
      <c r="M15" s="3" t="s">
        <v>128</v>
      </c>
      <c r="N15" s="2" t="n">
        <v>46055</v>
      </c>
      <c r="O15" s="3" t="s">
        <v>129</v>
      </c>
      <c r="P15" s="3" t="s">
        <v>130</v>
      </c>
      <c r="Q15" s="2" t="n">
        <v>46058</v>
      </c>
      <c r="R15" s="3" t="s">
        <v>131</v>
      </c>
      <c r="S15" s="3" t="s">
        <v>57</v>
      </c>
      <c r="T15" s="3" t="s">
        <v>40</v>
      </c>
      <c r="U15" s="3" t="s">
        <v>40</v>
      </c>
      <c r="V15" s="3" t="s">
        <v>40</v>
      </c>
      <c r="W15" s="0" t="n">
        <v>5.1778</v>
      </c>
      <c r="X15" s="0" t="n">
        <v>1.5</v>
      </c>
      <c r="Y15" s="0" t="n">
        <v>3.6778</v>
      </c>
      <c r="Z15" s="0" t="n">
        <v>4</v>
      </c>
      <c r="AA15" s="0" t="n">
        <v>3</v>
      </c>
      <c r="AB15" s="4" t="n">
        <f aca="false">I15*AA15*Z15</f>
        <v>43681.56</v>
      </c>
      <c r="AC15" s="4" t="n">
        <f aca="false">AB15*1.18</f>
        <v>51544.2408</v>
      </c>
    </row>
    <row r="16" customFormat="false" ht="15" hidden="false" customHeight="false" outlineLevel="0" collapsed="false">
      <c r="A16" s="0" t="s">
        <v>29</v>
      </c>
      <c r="B16" s="2" t="n">
        <v>46058</v>
      </c>
      <c r="C16" s="3" t="s">
        <v>132</v>
      </c>
      <c r="D16" s="3" t="s">
        <v>31</v>
      </c>
      <c r="E16" s="3" t="s">
        <v>32</v>
      </c>
      <c r="F16" s="3" t="s">
        <v>51</v>
      </c>
      <c r="G16" s="0" t="n">
        <v>81</v>
      </c>
      <c r="H16" s="0" t="n">
        <v>654.67</v>
      </c>
      <c r="I16" s="0" t="n">
        <v>720.16</v>
      </c>
      <c r="J16" s="2" t="n">
        <v>46057</v>
      </c>
      <c r="K16" s="3" t="s">
        <v>133</v>
      </c>
      <c r="L16" s="2" t="n">
        <v>46057</v>
      </c>
      <c r="M16" s="3" t="s">
        <v>134</v>
      </c>
      <c r="N16" s="2" t="n">
        <v>46058</v>
      </c>
      <c r="O16" s="3" t="s">
        <v>135</v>
      </c>
      <c r="P16" s="3" t="s">
        <v>136</v>
      </c>
      <c r="Q16" s="2" t="n">
        <v>46058</v>
      </c>
      <c r="R16" s="3" t="s">
        <v>137</v>
      </c>
      <c r="S16" s="3" t="s">
        <v>69</v>
      </c>
      <c r="T16" s="3" t="s">
        <v>40</v>
      </c>
      <c r="U16" s="3" t="s">
        <v>40</v>
      </c>
      <c r="V16" s="3" t="s">
        <v>40</v>
      </c>
      <c r="W16" s="0" t="n">
        <v>2.011</v>
      </c>
      <c r="X16" s="0" t="n">
        <v>1.5</v>
      </c>
      <c r="Y16" s="0" t="n">
        <v>0.511</v>
      </c>
      <c r="Z16" s="0" t="n">
        <v>1</v>
      </c>
      <c r="AA16" s="0" t="n">
        <v>3</v>
      </c>
      <c r="AB16" s="4" t="n">
        <f aca="false">I16*AA16*Z16</f>
        <v>2160.48</v>
      </c>
      <c r="AC16" s="4" t="n">
        <f aca="false">AB16*1.18</f>
        <v>2549.3664</v>
      </c>
    </row>
    <row r="17" customFormat="false" ht="15" hidden="false" customHeight="false" outlineLevel="0" collapsed="false">
      <c r="A17" s="0" t="s">
        <v>29</v>
      </c>
      <c r="B17" s="2" t="n">
        <v>46058</v>
      </c>
      <c r="C17" s="3" t="s">
        <v>138</v>
      </c>
      <c r="D17" s="3" t="s">
        <v>31</v>
      </c>
      <c r="E17" s="3" t="s">
        <v>32</v>
      </c>
      <c r="F17" s="3" t="s">
        <v>33</v>
      </c>
      <c r="G17" s="0" t="n">
        <v>40</v>
      </c>
      <c r="H17" s="0" t="n">
        <v>2560.25</v>
      </c>
      <c r="I17" s="0" t="n">
        <v>3840.39</v>
      </c>
      <c r="J17" s="2" t="n">
        <v>46056</v>
      </c>
      <c r="K17" s="3" t="s">
        <v>139</v>
      </c>
      <c r="L17" s="2" t="n">
        <v>46056</v>
      </c>
      <c r="M17" s="3" t="s">
        <v>137</v>
      </c>
      <c r="N17" s="2" t="n">
        <v>46057</v>
      </c>
      <c r="O17" s="3" t="s">
        <v>140</v>
      </c>
      <c r="P17" s="3" t="s">
        <v>141</v>
      </c>
      <c r="Q17" s="2" t="n">
        <v>46058</v>
      </c>
      <c r="R17" s="3" t="s">
        <v>142</v>
      </c>
      <c r="S17" s="3" t="s">
        <v>143</v>
      </c>
      <c r="T17" s="3" t="s">
        <v>144</v>
      </c>
      <c r="U17" s="3" t="s">
        <v>144</v>
      </c>
      <c r="V17" s="3" t="s">
        <v>144</v>
      </c>
      <c r="W17" s="0" t="n">
        <v>3.6834</v>
      </c>
      <c r="X17" s="0" t="n">
        <v>1.5</v>
      </c>
      <c r="Y17" s="0" t="n">
        <v>2.1834</v>
      </c>
      <c r="Z17" s="0" t="n">
        <v>2</v>
      </c>
      <c r="AA17" s="0" t="n">
        <v>5</v>
      </c>
      <c r="AB17" s="4" t="n">
        <f aca="false">I17*AA17*Z17</f>
        <v>38403.9</v>
      </c>
      <c r="AC17" s="4" t="n">
        <f aca="false">AB17*1.18</f>
        <v>45316.602</v>
      </c>
    </row>
    <row r="18" customFormat="false" ht="15" hidden="false" customHeight="false" outlineLevel="0" collapsed="false">
      <c r="A18" s="0" t="s">
        <v>41</v>
      </c>
      <c r="B18" s="2" t="n">
        <v>46058</v>
      </c>
      <c r="C18" s="3" t="s">
        <v>145</v>
      </c>
      <c r="D18" s="3" t="s">
        <v>31</v>
      </c>
      <c r="E18" s="3" t="s">
        <v>32</v>
      </c>
      <c r="F18" s="3" t="s">
        <v>51</v>
      </c>
      <c r="G18" s="0" t="n">
        <v>96</v>
      </c>
      <c r="H18" s="0" t="n">
        <v>2493.76</v>
      </c>
      <c r="I18" s="0" t="n">
        <v>2494.21</v>
      </c>
      <c r="J18" s="2" t="n">
        <v>46057</v>
      </c>
      <c r="K18" s="3" t="s">
        <v>146</v>
      </c>
      <c r="L18" s="2" t="n">
        <v>46057</v>
      </c>
      <c r="M18" s="3" t="s">
        <v>147</v>
      </c>
      <c r="N18" s="2" t="n">
        <v>46057</v>
      </c>
      <c r="O18" s="3" t="s">
        <v>148</v>
      </c>
      <c r="P18" s="3" t="s">
        <v>149</v>
      </c>
      <c r="Q18" s="2" t="n">
        <v>46058</v>
      </c>
      <c r="R18" s="3" t="s">
        <v>150</v>
      </c>
      <c r="S18" s="3" t="s">
        <v>57</v>
      </c>
      <c r="T18" s="3" t="s">
        <v>151</v>
      </c>
      <c r="U18" s="3" t="s">
        <v>151</v>
      </c>
      <c r="V18" s="3" t="s">
        <v>151</v>
      </c>
      <c r="W18" s="0" t="n">
        <v>3.6682</v>
      </c>
      <c r="X18" s="0" t="n">
        <v>1.5</v>
      </c>
      <c r="Y18" s="0" t="n">
        <v>2.1682</v>
      </c>
      <c r="Z18" s="0" t="n">
        <v>2</v>
      </c>
      <c r="AA18" s="0" t="n">
        <v>3</v>
      </c>
      <c r="AB18" s="4" t="n">
        <f aca="false">I18*AA18*Z18</f>
        <v>14965.26</v>
      </c>
      <c r="AC18" s="4" t="n">
        <f aca="false">AB18*1.18</f>
        <v>17659.0068</v>
      </c>
    </row>
    <row r="19" customFormat="false" ht="15" hidden="false" customHeight="false" outlineLevel="0" collapsed="false">
      <c r="A19" s="0" t="s">
        <v>41</v>
      </c>
      <c r="B19" s="2" t="n">
        <v>46058</v>
      </c>
      <c r="C19" s="3" t="s">
        <v>152</v>
      </c>
      <c r="D19" s="3" t="s">
        <v>31</v>
      </c>
      <c r="E19" s="3" t="s">
        <v>32</v>
      </c>
      <c r="F19" s="3" t="s">
        <v>85</v>
      </c>
      <c r="G19" s="0" t="n">
        <v>42</v>
      </c>
      <c r="H19" s="0" t="n">
        <v>1605.45</v>
      </c>
      <c r="I19" s="0" t="n">
        <v>1605.68</v>
      </c>
      <c r="J19" s="2" t="n">
        <v>46056</v>
      </c>
      <c r="K19" s="3" t="s">
        <v>153</v>
      </c>
      <c r="L19" s="2" t="n">
        <v>46056</v>
      </c>
      <c r="M19" s="3" t="s">
        <v>154</v>
      </c>
      <c r="N19" s="2" t="n">
        <v>46056</v>
      </c>
      <c r="O19" s="3" t="s">
        <v>155</v>
      </c>
      <c r="P19" s="3" t="s">
        <v>156</v>
      </c>
      <c r="Q19" s="2" t="n">
        <v>46058</v>
      </c>
      <c r="R19" s="3" t="s">
        <v>157</v>
      </c>
      <c r="S19" s="3" t="s">
        <v>99</v>
      </c>
      <c r="T19" s="3" t="s">
        <v>40</v>
      </c>
      <c r="U19" s="3" t="s">
        <v>40</v>
      </c>
      <c r="V19" s="3" t="s">
        <v>40</v>
      </c>
      <c r="W19" s="0" t="n">
        <v>2.8691</v>
      </c>
      <c r="X19" s="0" t="n">
        <v>1.5</v>
      </c>
      <c r="Y19" s="0" t="n">
        <v>1.3691</v>
      </c>
      <c r="Z19" s="0" t="n">
        <v>1</v>
      </c>
      <c r="AA19" s="0" t="n">
        <v>3</v>
      </c>
      <c r="AB19" s="4" t="n">
        <f aca="false">I19*AA19*Z19</f>
        <v>4817.04</v>
      </c>
      <c r="AC19" s="4" t="n">
        <f aca="false">AB19*1.18</f>
        <v>5684.1072</v>
      </c>
    </row>
    <row r="20" customFormat="false" ht="15" hidden="false" customHeight="false" outlineLevel="0" collapsed="false">
      <c r="A20" s="0" t="s">
        <v>41</v>
      </c>
      <c r="B20" s="2" t="n">
        <v>46058</v>
      </c>
      <c r="C20" s="3" t="s">
        <v>158</v>
      </c>
      <c r="D20" s="3" t="s">
        <v>31</v>
      </c>
      <c r="E20" s="3" t="s">
        <v>32</v>
      </c>
      <c r="F20" s="3" t="s">
        <v>85</v>
      </c>
      <c r="G20" s="0" t="n">
        <v>108</v>
      </c>
      <c r="H20" s="0" t="n">
        <v>1170.07</v>
      </c>
      <c r="I20" s="0" t="n">
        <v>1755.4</v>
      </c>
      <c r="J20" s="2" t="n">
        <v>46056</v>
      </c>
      <c r="K20" s="3" t="s">
        <v>159</v>
      </c>
      <c r="L20" s="2" t="n">
        <v>46056</v>
      </c>
      <c r="M20" s="3" t="s">
        <v>160</v>
      </c>
      <c r="N20" s="2" t="n">
        <v>46057</v>
      </c>
      <c r="O20" s="3" t="s">
        <v>161</v>
      </c>
      <c r="P20" s="3" t="s">
        <v>162</v>
      </c>
      <c r="Q20" s="2" t="n">
        <v>46058</v>
      </c>
      <c r="R20" s="3" t="s">
        <v>163</v>
      </c>
      <c r="S20" s="3" t="s">
        <v>164</v>
      </c>
      <c r="T20" s="3" t="s">
        <v>40</v>
      </c>
      <c r="U20" s="3" t="s">
        <v>40</v>
      </c>
      <c r="V20" s="3" t="s">
        <v>40</v>
      </c>
      <c r="W20" s="0" t="n">
        <v>4.5213</v>
      </c>
      <c r="X20" s="0" t="n">
        <v>1.5</v>
      </c>
      <c r="Y20" s="0" t="n">
        <v>3.0213</v>
      </c>
      <c r="Z20" s="0" t="n">
        <v>3</v>
      </c>
      <c r="AA20" s="0" t="n">
        <v>3</v>
      </c>
      <c r="AB20" s="4" t="n">
        <f aca="false">I20*AA20*Z20</f>
        <v>15798.6</v>
      </c>
      <c r="AC20" s="4" t="n">
        <f aca="false">AB20*1.18</f>
        <v>18642.348</v>
      </c>
    </row>
    <row r="21" customFormat="false" ht="15" hidden="false" customHeight="false" outlineLevel="0" collapsed="false">
      <c r="A21" s="0" t="s">
        <v>41</v>
      </c>
      <c r="B21" s="2" t="n">
        <v>46058</v>
      </c>
      <c r="C21" s="3" t="s">
        <v>165</v>
      </c>
      <c r="D21" s="3" t="s">
        <v>31</v>
      </c>
      <c r="E21" s="3" t="s">
        <v>32</v>
      </c>
      <c r="F21" s="3" t="s">
        <v>51</v>
      </c>
      <c r="G21" s="0" t="n">
        <v>22</v>
      </c>
      <c r="H21" s="0" t="n">
        <v>1873.22</v>
      </c>
      <c r="I21" s="0" t="n">
        <v>2435.25</v>
      </c>
      <c r="J21" s="2" t="n">
        <v>46056</v>
      </c>
      <c r="K21" s="3" t="s">
        <v>166</v>
      </c>
      <c r="L21" s="2" t="n">
        <v>46056</v>
      </c>
      <c r="M21" s="3" t="s">
        <v>167</v>
      </c>
      <c r="N21" s="2" t="n">
        <v>46056</v>
      </c>
      <c r="O21" s="3" t="s">
        <v>168</v>
      </c>
      <c r="P21" s="3" t="s">
        <v>169</v>
      </c>
      <c r="Q21" s="2" t="n">
        <v>46058</v>
      </c>
      <c r="R21" s="3" t="s">
        <v>170</v>
      </c>
      <c r="S21" s="3" t="s">
        <v>171</v>
      </c>
      <c r="T21" s="3" t="s">
        <v>40</v>
      </c>
      <c r="U21" s="3" t="s">
        <v>40</v>
      </c>
      <c r="V21" s="3" t="s">
        <v>40</v>
      </c>
      <c r="W21" s="0" t="n">
        <v>2.1607</v>
      </c>
      <c r="X21" s="0" t="n">
        <v>1.5</v>
      </c>
      <c r="Y21" s="0" t="n">
        <v>0.6607</v>
      </c>
      <c r="Z21" s="0" t="n">
        <v>1</v>
      </c>
      <c r="AA21" s="0" t="n">
        <v>3</v>
      </c>
      <c r="AB21" s="4" t="n">
        <f aca="false">I21*AA21*Z21</f>
        <v>7305.75</v>
      </c>
      <c r="AC21" s="4" t="n">
        <f aca="false">AB21*1.18</f>
        <v>8620.785</v>
      </c>
    </row>
    <row r="22" customFormat="false" ht="15" hidden="false" customHeight="false" outlineLevel="0" collapsed="false">
      <c r="A22" s="0" t="s">
        <v>29</v>
      </c>
      <c r="B22" s="2" t="n">
        <v>46059</v>
      </c>
      <c r="C22" s="3" t="s">
        <v>172</v>
      </c>
      <c r="D22" s="3" t="s">
        <v>50</v>
      </c>
      <c r="E22" s="3" t="s">
        <v>32</v>
      </c>
      <c r="F22" s="3" t="s">
        <v>85</v>
      </c>
      <c r="G22" s="0" t="n">
        <v>65</v>
      </c>
      <c r="H22" s="0" t="n">
        <v>345.08</v>
      </c>
      <c r="I22" s="0" t="n">
        <v>379.74</v>
      </c>
      <c r="J22" s="2" t="n">
        <v>46058</v>
      </c>
      <c r="K22" s="3" t="s">
        <v>173</v>
      </c>
      <c r="L22" s="2" t="n">
        <v>46058</v>
      </c>
      <c r="M22" s="3" t="s">
        <v>174</v>
      </c>
      <c r="N22" s="2" t="n">
        <v>46058</v>
      </c>
      <c r="O22" s="3" t="s">
        <v>175</v>
      </c>
      <c r="P22" s="3" t="s">
        <v>176</v>
      </c>
      <c r="Q22" s="2" t="n">
        <v>46059</v>
      </c>
      <c r="R22" s="3" t="s">
        <v>177</v>
      </c>
      <c r="S22" s="3" t="s">
        <v>76</v>
      </c>
      <c r="T22" s="3" t="s">
        <v>40</v>
      </c>
      <c r="U22" s="3" t="s">
        <v>40</v>
      </c>
      <c r="V22" s="3" t="s">
        <v>40</v>
      </c>
      <c r="W22" s="0" t="n">
        <v>2.5325</v>
      </c>
      <c r="X22" s="0" t="n">
        <v>1.5</v>
      </c>
      <c r="Y22" s="0" t="n">
        <v>1.0325</v>
      </c>
      <c r="Z22" s="0" t="n">
        <v>1</v>
      </c>
      <c r="AA22" s="0" t="n">
        <v>3</v>
      </c>
      <c r="AB22" s="4" t="n">
        <f aca="false">I22*AA22*Z22</f>
        <v>1139.22</v>
      </c>
      <c r="AC22" s="4" t="n">
        <f aca="false">AB22*1.18</f>
        <v>1344.2796</v>
      </c>
    </row>
    <row r="23" customFormat="false" ht="15" hidden="false" customHeight="false" outlineLevel="0" collapsed="false">
      <c r="A23" s="0" t="s">
        <v>29</v>
      </c>
      <c r="B23" s="2" t="n">
        <v>46059</v>
      </c>
      <c r="C23" s="3" t="s">
        <v>178</v>
      </c>
      <c r="D23" s="3" t="s">
        <v>31</v>
      </c>
      <c r="E23" s="3" t="s">
        <v>32</v>
      </c>
      <c r="F23" s="3" t="s">
        <v>85</v>
      </c>
      <c r="G23" s="0" t="n">
        <v>114</v>
      </c>
      <c r="H23" s="0" t="n">
        <v>2264.43</v>
      </c>
      <c r="I23" s="0" t="n">
        <v>2943.92</v>
      </c>
      <c r="J23" s="2" t="n">
        <v>46057</v>
      </c>
      <c r="K23" s="3" t="s">
        <v>179</v>
      </c>
      <c r="L23" s="2" t="n">
        <v>46057</v>
      </c>
      <c r="M23" s="3" t="s">
        <v>180</v>
      </c>
      <c r="N23" s="2" t="n">
        <v>46057</v>
      </c>
      <c r="O23" s="3" t="s">
        <v>181</v>
      </c>
      <c r="P23" s="3" t="s">
        <v>182</v>
      </c>
      <c r="Q23" s="2" t="n">
        <v>46059</v>
      </c>
      <c r="R23" s="3" t="s">
        <v>183</v>
      </c>
      <c r="S23" s="3" t="s">
        <v>184</v>
      </c>
      <c r="T23" s="3" t="s">
        <v>40</v>
      </c>
      <c r="U23" s="3" t="s">
        <v>40</v>
      </c>
      <c r="V23" s="3" t="s">
        <v>40</v>
      </c>
      <c r="W23" s="0" t="n">
        <v>5.4078</v>
      </c>
      <c r="X23" s="0" t="n">
        <v>1.5</v>
      </c>
      <c r="Y23" s="0" t="n">
        <v>3.9078</v>
      </c>
      <c r="Z23" s="0" t="n">
        <v>4</v>
      </c>
      <c r="AA23" s="0" t="n">
        <v>3</v>
      </c>
      <c r="AB23" s="4" t="n">
        <f aca="false">I23*AA23*Z23</f>
        <v>35327.04</v>
      </c>
      <c r="AC23" s="4" t="n">
        <f aca="false">AB23*1.18</f>
        <v>41685.9072</v>
      </c>
    </row>
    <row r="24" customFormat="false" ht="15" hidden="false" customHeight="false" outlineLevel="0" collapsed="false">
      <c r="A24" s="0" t="s">
        <v>41</v>
      </c>
      <c r="B24" s="2" t="n">
        <v>46059</v>
      </c>
      <c r="C24" s="3" t="s">
        <v>185</v>
      </c>
      <c r="D24" s="3" t="s">
        <v>50</v>
      </c>
      <c r="E24" s="3" t="s">
        <v>32</v>
      </c>
      <c r="F24" s="3" t="s">
        <v>51</v>
      </c>
      <c r="G24" s="0" t="n">
        <v>188</v>
      </c>
      <c r="H24" s="0" t="n">
        <v>881.22</v>
      </c>
      <c r="I24" s="0" t="n">
        <v>1145.69</v>
      </c>
      <c r="J24" s="2" t="n">
        <v>46057</v>
      </c>
      <c r="K24" s="3" t="s">
        <v>186</v>
      </c>
      <c r="L24" s="2" t="n">
        <v>46057</v>
      </c>
      <c r="M24" s="3" t="s">
        <v>187</v>
      </c>
      <c r="N24" s="2" t="n">
        <v>46058</v>
      </c>
      <c r="O24" s="3" t="s">
        <v>121</v>
      </c>
      <c r="P24" s="3" t="s">
        <v>188</v>
      </c>
      <c r="Q24" s="2" t="n">
        <v>46059</v>
      </c>
      <c r="R24" s="3" t="s">
        <v>189</v>
      </c>
      <c r="S24" s="3" t="s">
        <v>48</v>
      </c>
      <c r="T24" s="3" t="s">
        <v>40</v>
      </c>
      <c r="U24" s="3" t="s">
        <v>40</v>
      </c>
      <c r="V24" s="3" t="s">
        <v>40</v>
      </c>
      <c r="W24" s="0" t="n">
        <v>0.8556</v>
      </c>
      <c r="X24" s="0" t="n">
        <v>1.5</v>
      </c>
      <c r="Y24" s="0" t="n">
        <v>-0.6444</v>
      </c>
      <c r="Z24" s="0" t="n">
        <v>-1</v>
      </c>
      <c r="AA24" s="0" t="n">
        <v>3</v>
      </c>
      <c r="AB24" s="4" t="n">
        <f aca="false">I24*AA24*Z24</f>
        <v>-3437.07</v>
      </c>
      <c r="AC24" s="4" t="n">
        <f aca="false">AB24*1.18</f>
        <v>-4055.7426</v>
      </c>
    </row>
    <row r="25" customFormat="false" ht="15" hidden="false" customHeight="false" outlineLevel="0" collapsed="false">
      <c r="A25" s="0" t="s">
        <v>29</v>
      </c>
      <c r="B25" s="2" t="n">
        <v>46060</v>
      </c>
      <c r="C25" s="3" t="s">
        <v>190</v>
      </c>
      <c r="D25" s="3" t="s">
        <v>50</v>
      </c>
      <c r="E25" s="3" t="s">
        <v>32</v>
      </c>
      <c r="F25" s="3" t="s">
        <v>33</v>
      </c>
      <c r="G25" s="0" t="n">
        <v>28</v>
      </c>
      <c r="H25" s="0" t="n">
        <v>1602.51</v>
      </c>
      <c r="I25" s="0" t="n">
        <v>2083.69</v>
      </c>
      <c r="J25" s="2" t="n">
        <v>46058</v>
      </c>
      <c r="K25" s="3" t="s">
        <v>191</v>
      </c>
      <c r="L25" s="2" t="n">
        <v>46058</v>
      </c>
      <c r="M25" s="3" t="s">
        <v>192</v>
      </c>
      <c r="N25" s="2" t="n">
        <v>46059</v>
      </c>
      <c r="O25" s="3" t="s">
        <v>193</v>
      </c>
      <c r="P25" s="3" t="s">
        <v>194</v>
      </c>
      <c r="Q25" s="2" t="n">
        <v>46060</v>
      </c>
      <c r="R25" s="3" t="s">
        <v>195</v>
      </c>
      <c r="S25" s="3" t="s">
        <v>184</v>
      </c>
      <c r="T25" s="3" t="s">
        <v>40</v>
      </c>
      <c r="U25" s="3" t="s">
        <v>40</v>
      </c>
      <c r="V25" s="3" t="s">
        <v>40</v>
      </c>
      <c r="W25" s="0" t="n">
        <v>3.4029</v>
      </c>
      <c r="X25" s="0" t="n">
        <v>1.5</v>
      </c>
      <c r="Y25" s="0" t="n">
        <v>1.9029</v>
      </c>
      <c r="Z25" s="0" t="n">
        <v>2</v>
      </c>
      <c r="AA25" s="0" t="n">
        <v>3</v>
      </c>
      <c r="AB25" s="4" t="n">
        <f aca="false">I25*AA25*Z25</f>
        <v>12502.14</v>
      </c>
      <c r="AC25" s="4" t="n">
        <f aca="false">AB25*1.18</f>
        <v>14752.5252</v>
      </c>
    </row>
    <row r="26" customFormat="false" ht="15" hidden="false" customHeight="false" outlineLevel="0" collapsed="false">
      <c r="A26" s="0" t="s">
        <v>41</v>
      </c>
      <c r="B26" s="2" t="n">
        <v>46060</v>
      </c>
      <c r="C26" s="3" t="s">
        <v>196</v>
      </c>
      <c r="D26" s="3" t="s">
        <v>31</v>
      </c>
      <c r="E26" s="3" t="s">
        <v>32</v>
      </c>
      <c r="F26" s="3" t="s">
        <v>85</v>
      </c>
      <c r="G26" s="0" t="n">
        <v>184</v>
      </c>
      <c r="H26" s="0" t="n">
        <v>273.4</v>
      </c>
      <c r="I26" s="0" t="n">
        <v>355.68</v>
      </c>
      <c r="J26" s="2" t="n">
        <v>46058</v>
      </c>
      <c r="K26" s="3" t="s">
        <v>137</v>
      </c>
      <c r="L26" s="2" t="n">
        <v>46058</v>
      </c>
      <c r="M26" s="3" t="s">
        <v>197</v>
      </c>
      <c r="N26" s="2" t="n">
        <v>46059</v>
      </c>
      <c r="O26" s="3" t="s">
        <v>198</v>
      </c>
      <c r="P26" s="3" t="s">
        <v>199</v>
      </c>
      <c r="Q26" s="2" t="n">
        <v>46060</v>
      </c>
      <c r="R26" s="3" t="s">
        <v>200</v>
      </c>
      <c r="S26" s="3" t="s">
        <v>164</v>
      </c>
      <c r="T26" s="3" t="s">
        <v>40</v>
      </c>
      <c r="U26" s="3" t="s">
        <v>40</v>
      </c>
      <c r="V26" s="3" t="s">
        <v>40</v>
      </c>
      <c r="W26" s="0" t="n">
        <v>4.7906</v>
      </c>
      <c r="X26" s="0" t="n">
        <v>1.5</v>
      </c>
      <c r="Y26" s="0" t="n">
        <v>3.2906</v>
      </c>
      <c r="Z26" s="0" t="n">
        <v>3</v>
      </c>
      <c r="AA26" s="0" t="n">
        <v>3</v>
      </c>
      <c r="AB26" s="4" t="n">
        <f aca="false">I26*AA26*Z26</f>
        <v>3201.12</v>
      </c>
      <c r="AC26" s="4" t="n">
        <f aca="false">AB26*1.18</f>
        <v>3777.3216</v>
      </c>
    </row>
    <row r="27" customFormat="false" ht="15" hidden="false" customHeight="false" outlineLevel="0" collapsed="false">
      <c r="A27" s="0" t="s">
        <v>41</v>
      </c>
      <c r="B27" s="2" t="n">
        <v>46060</v>
      </c>
      <c r="C27" s="3" t="s">
        <v>201</v>
      </c>
      <c r="D27" s="3" t="s">
        <v>31</v>
      </c>
      <c r="E27" s="3" t="s">
        <v>32</v>
      </c>
      <c r="F27" s="3" t="s">
        <v>85</v>
      </c>
      <c r="G27" s="0" t="n">
        <v>158</v>
      </c>
      <c r="H27" s="0" t="n">
        <v>234.32</v>
      </c>
      <c r="I27" s="0" t="n">
        <v>234.59</v>
      </c>
      <c r="J27" s="2" t="n">
        <v>46057</v>
      </c>
      <c r="K27" s="3" t="s">
        <v>202</v>
      </c>
      <c r="L27" s="2" t="n">
        <v>46057</v>
      </c>
      <c r="M27" s="3" t="s">
        <v>203</v>
      </c>
      <c r="N27" s="2" t="n">
        <v>46057</v>
      </c>
      <c r="O27" s="3" t="s">
        <v>204</v>
      </c>
      <c r="P27" s="3" t="s">
        <v>205</v>
      </c>
      <c r="Q27" s="2" t="n">
        <v>46060</v>
      </c>
      <c r="R27" s="3" t="s">
        <v>206</v>
      </c>
      <c r="S27" s="3" t="s">
        <v>57</v>
      </c>
      <c r="T27" s="3" t="s">
        <v>40</v>
      </c>
      <c r="U27" s="3" t="s">
        <v>40</v>
      </c>
      <c r="V27" s="3" t="s">
        <v>40</v>
      </c>
      <c r="W27" s="0" t="n">
        <v>2.9863</v>
      </c>
      <c r="X27" s="0" t="n">
        <v>1.5</v>
      </c>
      <c r="Y27" s="0" t="n">
        <v>1.4863</v>
      </c>
      <c r="Z27" s="0" t="n">
        <v>1</v>
      </c>
      <c r="AA27" s="0" t="n">
        <v>3</v>
      </c>
      <c r="AB27" s="4" t="n">
        <f aca="false">I27*AA27*Z27</f>
        <v>703.77</v>
      </c>
      <c r="AC27" s="4" t="n">
        <f aca="false">AB27*1.18</f>
        <v>830.4486</v>
      </c>
    </row>
    <row r="28" customFormat="false" ht="15" hidden="false" customHeight="false" outlineLevel="0" collapsed="false">
      <c r="A28" s="0" t="s">
        <v>41</v>
      </c>
      <c r="B28" s="2" t="n">
        <v>46060</v>
      </c>
      <c r="C28" s="3" t="s">
        <v>207</v>
      </c>
      <c r="D28" s="3" t="s">
        <v>31</v>
      </c>
      <c r="E28" s="3" t="s">
        <v>32</v>
      </c>
      <c r="F28" s="3" t="s">
        <v>33</v>
      </c>
      <c r="G28" s="0" t="n">
        <v>195</v>
      </c>
      <c r="H28" s="0" t="n">
        <v>2685.01</v>
      </c>
      <c r="I28" s="0" t="n">
        <v>2685.09</v>
      </c>
      <c r="J28" s="2" t="n">
        <v>46059</v>
      </c>
      <c r="K28" s="3" t="s">
        <v>208</v>
      </c>
      <c r="L28" s="2" t="n">
        <v>46059</v>
      </c>
      <c r="M28" s="3" t="s">
        <v>209</v>
      </c>
      <c r="N28" s="2" t="n">
        <v>46059</v>
      </c>
      <c r="O28" s="3" t="s">
        <v>210</v>
      </c>
      <c r="P28" s="3" t="s">
        <v>211</v>
      </c>
      <c r="Q28" s="2" t="n">
        <v>46060</v>
      </c>
      <c r="R28" s="3" t="s">
        <v>212</v>
      </c>
      <c r="S28" s="3" t="s">
        <v>69</v>
      </c>
      <c r="T28" s="3" t="s">
        <v>40</v>
      </c>
      <c r="U28" s="3" t="s">
        <v>40</v>
      </c>
      <c r="V28" s="3" t="s">
        <v>40</v>
      </c>
      <c r="W28" s="0" t="n">
        <v>5.2821</v>
      </c>
      <c r="X28" s="0" t="n">
        <v>1.5</v>
      </c>
      <c r="Y28" s="0" t="n">
        <v>3.7821</v>
      </c>
      <c r="Z28" s="0" t="n">
        <v>4</v>
      </c>
      <c r="AA28" s="0" t="n">
        <v>3</v>
      </c>
      <c r="AB28" s="4" t="n">
        <f aca="false">I28*AA28*Z28</f>
        <v>32221.08</v>
      </c>
      <c r="AC28" s="4" t="n">
        <f aca="false">AB28*1.18</f>
        <v>38020.8744</v>
      </c>
    </row>
    <row r="29" customFormat="false" ht="15" hidden="false" customHeight="false" outlineLevel="0" collapsed="false">
      <c r="A29" s="0" t="s">
        <v>29</v>
      </c>
      <c r="B29" s="2" t="n">
        <v>46061</v>
      </c>
      <c r="C29" s="3" t="s">
        <v>213</v>
      </c>
      <c r="D29" s="3" t="s">
        <v>31</v>
      </c>
      <c r="E29" s="3" t="s">
        <v>32</v>
      </c>
      <c r="F29" s="3" t="s">
        <v>33</v>
      </c>
      <c r="G29" s="0" t="n">
        <v>198</v>
      </c>
      <c r="H29" s="0" t="n">
        <v>3055.7</v>
      </c>
      <c r="I29" s="0" t="n">
        <v>3055.96</v>
      </c>
      <c r="J29" s="2" t="n">
        <v>46058</v>
      </c>
      <c r="K29" s="3" t="s">
        <v>214</v>
      </c>
      <c r="L29" s="2" t="n">
        <v>46058</v>
      </c>
      <c r="M29" s="3" t="s">
        <v>215</v>
      </c>
      <c r="N29" s="2" t="n">
        <v>46058</v>
      </c>
      <c r="O29" s="3" t="s">
        <v>216</v>
      </c>
      <c r="P29" s="3" t="s">
        <v>217</v>
      </c>
      <c r="Q29" s="2" t="n">
        <v>46061</v>
      </c>
      <c r="R29" s="3" t="s">
        <v>218</v>
      </c>
      <c r="S29" s="3" t="s">
        <v>48</v>
      </c>
      <c r="T29" s="3" t="s">
        <v>40</v>
      </c>
      <c r="U29" s="3" t="s">
        <v>40</v>
      </c>
      <c r="V29" s="3" t="s">
        <v>40</v>
      </c>
      <c r="W29" s="0" t="n">
        <v>3.9294</v>
      </c>
      <c r="X29" s="0" t="n">
        <v>1.5</v>
      </c>
      <c r="Y29" s="0" t="n">
        <v>2.4294</v>
      </c>
      <c r="Z29" s="0" t="n">
        <v>2</v>
      </c>
      <c r="AA29" s="0" t="n">
        <v>3</v>
      </c>
      <c r="AB29" s="4" t="n">
        <f aca="false">I29*AA29*Z29</f>
        <v>18335.76</v>
      </c>
      <c r="AC29" s="4" t="n">
        <f aca="false">AB29*1.18</f>
        <v>21636.1968</v>
      </c>
    </row>
    <row r="30" customFormat="false" ht="15" hidden="false" customHeight="false" outlineLevel="0" collapsed="false">
      <c r="A30" s="0" t="s">
        <v>41</v>
      </c>
      <c r="B30" s="2" t="n">
        <v>46061</v>
      </c>
      <c r="C30" s="3" t="s">
        <v>219</v>
      </c>
      <c r="D30" s="3" t="s">
        <v>50</v>
      </c>
      <c r="E30" s="3" t="s">
        <v>32</v>
      </c>
      <c r="F30" s="3" t="s">
        <v>51</v>
      </c>
      <c r="G30" s="0" t="n">
        <v>99</v>
      </c>
      <c r="H30" s="0" t="n">
        <v>2596.34</v>
      </c>
      <c r="I30" s="0" t="n">
        <v>2596.4</v>
      </c>
      <c r="J30" s="2" t="n">
        <v>46058</v>
      </c>
      <c r="K30" s="3" t="s">
        <v>220</v>
      </c>
      <c r="L30" s="2" t="n">
        <v>46058</v>
      </c>
      <c r="M30" s="3" t="s">
        <v>216</v>
      </c>
      <c r="N30" s="2" t="n">
        <v>46058</v>
      </c>
      <c r="O30" s="3" t="s">
        <v>221</v>
      </c>
      <c r="P30" s="3" t="s">
        <v>222</v>
      </c>
      <c r="Q30" s="2" t="n">
        <v>46061</v>
      </c>
      <c r="R30" s="3" t="s">
        <v>223</v>
      </c>
      <c r="S30" s="3" t="s">
        <v>83</v>
      </c>
      <c r="T30" s="3" t="s">
        <v>151</v>
      </c>
      <c r="U30" s="3" t="s">
        <v>151</v>
      </c>
      <c r="V30" s="3" t="s">
        <v>151</v>
      </c>
      <c r="W30" s="0" t="n">
        <v>1.6324</v>
      </c>
      <c r="X30" s="0" t="n">
        <v>1.5</v>
      </c>
      <c r="Y30" s="0" t="n">
        <v>0.1324</v>
      </c>
      <c r="Z30" s="0" t="n">
        <v>1</v>
      </c>
      <c r="AA30" s="0" t="n">
        <v>3</v>
      </c>
      <c r="AB30" s="4" t="n">
        <f aca="false">I30*AA30*Z30</f>
        <v>7789.2</v>
      </c>
      <c r="AC30" s="4" t="n">
        <f aca="false">AB30*1.18</f>
        <v>9191.256</v>
      </c>
    </row>
    <row r="31" customFormat="false" ht="15" hidden="false" customHeight="false" outlineLevel="0" collapsed="false">
      <c r="A31" s="0" t="s">
        <v>41</v>
      </c>
      <c r="B31" s="2" t="n">
        <v>46061</v>
      </c>
      <c r="C31" s="3" t="s">
        <v>224</v>
      </c>
      <c r="D31" s="3" t="s">
        <v>31</v>
      </c>
      <c r="E31" s="3" t="s">
        <v>32</v>
      </c>
      <c r="F31" s="3" t="s">
        <v>33</v>
      </c>
      <c r="G31" s="0" t="n">
        <v>98</v>
      </c>
      <c r="H31" s="0" t="n">
        <v>2448.34</v>
      </c>
      <c r="I31" s="0" t="n">
        <v>3672.82</v>
      </c>
      <c r="J31" s="2" t="n">
        <v>46058</v>
      </c>
      <c r="K31" s="3" t="s">
        <v>71</v>
      </c>
      <c r="L31" s="2" t="n">
        <v>46058</v>
      </c>
      <c r="M31" s="3" t="s">
        <v>87</v>
      </c>
      <c r="N31" s="2" t="n">
        <v>46059</v>
      </c>
      <c r="O31" s="3" t="s">
        <v>225</v>
      </c>
      <c r="P31" s="3" t="s">
        <v>226</v>
      </c>
      <c r="Q31" s="2" t="n">
        <v>46061</v>
      </c>
      <c r="R31" s="3" t="s">
        <v>227</v>
      </c>
      <c r="S31" s="3" t="s">
        <v>228</v>
      </c>
      <c r="T31" s="3" t="s">
        <v>100</v>
      </c>
      <c r="U31" s="3" t="s">
        <v>100</v>
      </c>
      <c r="V31" s="3" t="s">
        <v>100</v>
      </c>
      <c r="W31" s="0" t="n">
        <v>2.3927</v>
      </c>
      <c r="X31" s="0" t="n">
        <v>1.5</v>
      </c>
      <c r="Y31" s="0" t="n">
        <v>0.8927</v>
      </c>
      <c r="Z31" s="0" t="n">
        <v>1</v>
      </c>
      <c r="AA31" s="0" t="n">
        <v>3</v>
      </c>
      <c r="AB31" s="4" t="n">
        <f aca="false">I31*AA31*Z31</f>
        <v>11018.46</v>
      </c>
      <c r="AC31" s="4" t="n">
        <f aca="false">AB31*1.18</f>
        <v>13001.7828</v>
      </c>
    </row>
    <row r="32" customFormat="false" ht="15" hidden="false" customHeight="false" outlineLevel="0" collapsed="false">
      <c r="A32" s="0" t="s">
        <v>29</v>
      </c>
      <c r="B32" s="2" t="n">
        <v>46062</v>
      </c>
      <c r="C32" s="3" t="s">
        <v>229</v>
      </c>
      <c r="D32" s="3" t="s">
        <v>31</v>
      </c>
      <c r="E32" s="3" t="s">
        <v>32</v>
      </c>
      <c r="F32" s="3" t="s">
        <v>51</v>
      </c>
      <c r="G32" s="0" t="n">
        <v>184</v>
      </c>
      <c r="H32" s="0" t="n">
        <v>2050.12</v>
      </c>
      <c r="I32" s="0" t="n">
        <v>2050.56</v>
      </c>
      <c r="J32" s="2" t="n">
        <v>46060</v>
      </c>
      <c r="K32" s="3" t="s">
        <v>230</v>
      </c>
      <c r="L32" s="2" t="n">
        <v>46060</v>
      </c>
      <c r="M32" s="3" t="s">
        <v>231</v>
      </c>
      <c r="N32" s="2" t="n">
        <v>46061</v>
      </c>
      <c r="O32" s="3" t="s">
        <v>232</v>
      </c>
      <c r="P32" s="3" t="s">
        <v>233</v>
      </c>
      <c r="Q32" s="2" t="n">
        <v>46062</v>
      </c>
      <c r="R32" s="3" t="s">
        <v>234</v>
      </c>
      <c r="S32" s="3" t="s">
        <v>113</v>
      </c>
      <c r="T32" s="3" t="s">
        <v>40</v>
      </c>
      <c r="U32" s="3" t="s">
        <v>40</v>
      </c>
      <c r="V32" s="3" t="s">
        <v>40</v>
      </c>
      <c r="W32" s="0" t="n">
        <v>3.6604</v>
      </c>
      <c r="X32" s="0" t="n">
        <v>1.5</v>
      </c>
      <c r="Y32" s="0" t="n">
        <v>2.1604</v>
      </c>
      <c r="Z32" s="0" t="n">
        <v>2</v>
      </c>
      <c r="AA32" s="0" t="n">
        <v>3</v>
      </c>
      <c r="AB32" s="4" t="n">
        <f aca="false">I32*AA32*Z32</f>
        <v>12303.36</v>
      </c>
      <c r="AC32" s="4" t="n">
        <f aca="false">AB32*1.18</f>
        <v>14517.9648</v>
      </c>
    </row>
    <row r="33" customFormat="false" ht="15" hidden="false" customHeight="false" outlineLevel="0" collapsed="false">
      <c r="A33" s="0" t="s">
        <v>29</v>
      </c>
      <c r="B33" s="2" t="n">
        <v>46062</v>
      </c>
      <c r="C33" s="3" t="s">
        <v>235</v>
      </c>
      <c r="D33" s="3" t="s">
        <v>50</v>
      </c>
      <c r="E33" s="3" t="s">
        <v>32</v>
      </c>
      <c r="F33" s="3" t="s">
        <v>51</v>
      </c>
      <c r="G33" s="0" t="n">
        <v>48</v>
      </c>
      <c r="H33" s="0" t="n">
        <v>674.1</v>
      </c>
      <c r="I33" s="0" t="n">
        <v>674.24</v>
      </c>
      <c r="J33" s="2" t="n">
        <v>46060</v>
      </c>
      <c r="K33" s="3" t="s">
        <v>173</v>
      </c>
      <c r="L33" s="2" t="n">
        <v>46060</v>
      </c>
      <c r="M33" s="3" t="s">
        <v>236</v>
      </c>
      <c r="N33" s="2" t="n">
        <v>46060</v>
      </c>
      <c r="O33" s="3" t="s">
        <v>237</v>
      </c>
      <c r="P33" s="3" t="s">
        <v>238</v>
      </c>
      <c r="Q33" s="2" t="n">
        <v>46062</v>
      </c>
      <c r="R33" s="3" t="s">
        <v>239</v>
      </c>
      <c r="S33" s="3" t="s">
        <v>228</v>
      </c>
      <c r="T33" s="3" t="s">
        <v>40</v>
      </c>
      <c r="U33" s="3" t="s">
        <v>40</v>
      </c>
      <c r="V33" s="3" t="s">
        <v>40</v>
      </c>
      <c r="W33" s="0" t="n">
        <v>0.2875</v>
      </c>
      <c r="X33" s="0" t="n">
        <v>1.5</v>
      </c>
      <c r="Y33" s="0" t="n">
        <v>-1.2125</v>
      </c>
      <c r="Z33" s="0" t="n">
        <v>-1</v>
      </c>
      <c r="AA33" s="0" t="n">
        <v>3</v>
      </c>
      <c r="AB33" s="4" t="n">
        <f aca="false">I33*AA33*Z33</f>
        <v>-2022.72</v>
      </c>
      <c r="AC33" s="4" t="n">
        <f aca="false">AB33*1.18</f>
        <v>-2386.8096</v>
      </c>
    </row>
    <row r="34" customFormat="false" ht="15" hidden="false" customHeight="false" outlineLevel="0" collapsed="false">
      <c r="A34" s="0" t="s">
        <v>29</v>
      </c>
      <c r="B34" s="2" t="n">
        <v>46062</v>
      </c>
      <c r="C34" s="3" t="s">
        <v>240</v>
      </c>
      <c r="D34" s="3" t="s">
        <v>31</v>
      </c>
      <c r="E34" s="3" t="s">
        <v>32</v>
      </c>
      <c r="F34" s="3" t="s">
        <v>33</v>
      </c>
      <c r="G34" s="0" t="n">
        <v>215</v>
      </c>
      <c r="H34" s="0" t="n">
        <v>986.88</v>
      </c>
      <c r="I34" s="0" t="n">
        <v>987.27</v>
      </c>
      <c r="J34" s="2" t="n">
        <v>46061</v>
      </c>
      <c r="K34" s="3" t="s">
        <v>241</v>
      </c>
      <c r="L34" s="2" t="n">
        <v>46061</v>
      </c>
      <c r="M34" s="3" t="s">
        <v>242</v>
      </c>
      <c r="N34" s="2" t="n">
        <v>46062</v>
      </c>
      <c r="O34" s="3" t="s">
        <v>243</v>
      </c>
      <c r="P34" s="3" t="s">
        <v>244</v>
      </c>
      <c r="Q34" s="2" t="n">
        <v>46062</v>
      </c>
      <c r="R34" s="3" t="s">
        <v>245</v>
      </c>
      <c r="S34" s="3" t="s">
        <v>184</v>
      </c>
      <c r="T34" s="3" t="s">
        <v>40</v>
      </c>
      <c r="U34" s="3" t="s">
        <v>40</v>
      </c>
      <c r="V34" s="3" t="s">
        <v>40</v>
      </c>
      <c r="W34" s="0" t="n">
        <v>4.9939</v>
      </c>
      <c r="X34" s="0" t="n">
        <v>1.5</v>
      </c>
      <c r="Y34" s="0" t="n">
        <v>3.4939</v>
      </c>
      <c r="Z34" s="0" t="n">
        <v>3</v>
      </c>
      <c r="AA34" s="0" t="n">
        <v>3</v>
      </c>
      <c r="AB34" s="4" t="n">
        <f aca="false">I34*AA34*Z34</f>
        <v>8885.43</v>
      </c>
      <c r="AC34" s="4" t="n">
        <f aca="false">AB34*1.18</f>
        <v>10484.8074</v>
      </c>
    </row>
    <row r="35" customFormat="false" ht="15" hidden="false" customHeight="false" outlineLevel="0" collapsed="false">
      <c r="A35" s="0" t="s">
        <v>41</v>
      </c>
      <c r="B35" s="2" t="n">
        <v>46062</v>
      </c>
      <c r="C35" s="3" t="s">
        <v>246</v>
      </c>
      <c r="D35" s="3" t="s">
        <v>31</v>
      </c>
      <c r="E35" s="3" t="s">
        <v>32</v>
      </c>
      <c r="F35" s="3" t="s">
        <v>33</v>
      </c>
      <c r="G35" s="0" t="n">
        <v>26</v>
      </c>
      <c r="H35" s="0" t="n">
        <v>601.2</v>
      </c>
      <c r="I35" s="0" t="n">
        <v>601.59</v>
      </c>
      <c r="J35" s="2" t="n">
        <v>46060</v>
      </c>
      <c r="K35" s="3" t="s">
        <v>198</v>
      </c>
      <c r="L35" s="2" t="n">
        <v>46060</v>
      </c>
      <c r="M35" s="3" t="s">
        <v>247</v>
      </c>
      <c r="N35" s="2" t="n">
        <v>46060</v>
      </c>
      <c r="O35" s="3" t="s">
        <v>248</v>
      </c>
      <c r="P35" s="3" t="s">
        <v>249</v>
      </c>
      <c r="Q35" s="2" t="n">
        <v>46062</v>
      </c>
      <c r="R35" s="3" t="s">
        <v>153</v>
      </c>
      <c r="S35" s="3" t="s">
        <v>171</v>
      </c>
      <c r="T35" s="3" t="s">
        <v>151</v>
      </c>
      <c r="U35" s="3" t="s">
        <v>151</v>
      </c>
      <c r="V35" s="3" t="s">
        <v>151</v>
      </c>
      <c r="W35" s="0" t="n">
        <v>3.6276</v>
      </c>
      <c r="X35" s="0" t="n">
        <v>1.5</v>
      </c>
      <c r="Y35" s="0" t="n">
        <v>2.1276</v>
      </c>
      <c r="Z35" s="0" t="n">
        <v>2</v>
      </c>
      <c r="AA35" s="0" t="n">
        <v>3</v>
      </c>
      <c r="AB35" s="4" t="n">
        <f aca="false">I35*AA35*Z35</f>
        <v>3609.54</v>
      </c>
      <c r="AC35" s="4" t="n">
        <f aca="false">AB35*1.18</f>
        <v>4259.2572</v>
      </c>
    </row>
    <row r="36" customFormat="false" ht="15" hidden="false" customHeight="false" outlineLevel="0" collapsed="false">
      <c r="A36" s="0" t="s">
        <v>41</v>
      </c>
      <c r="B36" s="2" t="n">
        <v>46062</v>
      </c>
      <c r="C36" s="3" t="s">
        <v>250</v>
      </c>
      <c r="D36" s="3" t="s">
        <v>31</v>
      </c>
      <c r="E36" s="3" t="s">
        <v>32</v>
      </c>
      <c r="F36" s="3" t="s">
        <v>51</v>
      </c>
      <c r="G36" s="0" t="n">
        <v>129</v>
      </c>
      <c r="H36" s="0" t="n">
        <v>2279.42</v>
      </c>
      <c r="I36" s="0" t="n">
        <v>2279.65</v>
      </c>
      <c r="J36" s="2" t="n">
        <v>46059</v>
      </c>
      <c r="K36" s="3" t="s">
        <v>251</v>
      </c>
      <c r="L36" s="2" t="n">
        <v>46059</v>
      </c>
      <c r="M36" s="3" t="s">
        <v>252</v>
      </c>
      <c r="N36" s="2" t="n">
        <v>46060</v>
      </c>
      <c r="O36" s="3" t="s">
        <v>253</v>
      </c>
      <c r="P36" s="3" t="s">
        <v>254</v>
      </c>
      <c r="Q36" s="2" t="n">
        <v>46062</v>
      </c>
      <c r="R36" s="3" t="s">
        <v>255</v>
      </c>
      <c r="S36" s="3" t="s">
        <v>256</v>
      </c>
      <c r="T36" s="3" t="s">
        <v>100</v>
      </c>
      <c r="U36" s="3" t="s">
        <v>100</v>
      </c>
      <c r="V36" s="3" t="s">
        <v>100</v>
      </c>
      <c r="W36" s="0" t="n">
        <v>0.5081</v>
      </c>
      <c r="X36" s="0" t="n">
        <v>1.5</v>
      </c>
      <c r="Y36" s="0" t="n">
        <v>-0.9919</v>
      </c>
      <c r="Z36" s="0" t="n">
        <v>-1</v>
      </c>
      <c r="AA36" s="0" t="n">
        <v>3</v>
      </c>
      <c r="AB36" s="4" t="n">
        <f aca="false">I36*AA36*Z36</f>
        <v>-6838.95</v>
      </c>
      <c r="AC36" s="4" t="n">
        <f aca="false">AB36*1.18</f>
        <v>-8069.961</v>
      </c>
    </row>
    <row r="37" customFormat="false" ht="15" hidden="false" customHeight="false" outlineLevel="0" collapsed="false">
      <c r="A37" s="0" t="s">
        <v>29</v>
      </c>
      <c r="B37" s="2" t="n">
        <v>46063</v>
      </c>
      <c r="C37" s="3" t="s">
        <v>257</v>
      </c>
      <c r="D37" s="3" t="s">
        <v>31</v>
      </c>
      <c r="E37" s="3" t="s">
        <v>32</v>
      </c>
      <c r="F37" s="3" t="s">
        <v>51</v>
      </c>
      <c r="G37" s="0" t="n">
        <v>194</v>
      </c>
      <c r="H37" s="0" t="n">
        <v>3066.48</v>
      </c>
      <c r="I37" s="0" t="n">
        <v>3066.89</v>
      </c>
      <c r="J37" s="2" t="n">
        <v>46061</v>
      </c>
      <c r="K37" s="3" t="s">
        <v>258</v>
      </c>
      <c r="L37" s="2" t="n">
        <v>46061</v>
      </c>
      <c r="M37" s="3" t="s">
        <v>259</v>
      </c>
      <c r="N37" s="2" t="n">
        <v>46062</v>
      </c>
      <c r="O37" s="3" t="s">
        <v>260</v>
      </c>
      <c r="P37" s="3" t="s">
        <v>261</v>
      </c>
      <c r="Q37" s="2" t="n">
        <v>46063</v>
      </c>
      <c r="R37" s="3" t="s">
        <v>128</v>
      </c>
      <c r="S37" s="3" t="s">
        <v>164</v>
      </c>
      <c r="T37" s="3" t="s">
        <v>40</v>
      </c>
      <c r="U37" s="3" t="s">
        <v>40</v>
      </c>
      <c r="V37" s="3" t="s">
        <v>40</v>
      </c>
      <c r="W37" s="0" t="n">
        <v>4.4131</v>
      </c>
      <c r="X37" s="0" t="n">
        <v>1.5</v>
      </c>
      <c r="Y37" s="0" t="n">
        <v>2.9131</v>
      </c>
      <c r="Z37" s="0" t="n">
        <v>3</v>
      </c>
      <c r="AA37" s="0" t="n">
        <v>3</v>
      </c>
      <c r="AB37" s="4" t="n">
        <f aca="false">I37*AA37*Z37</f>
        <v>27602.01</v>
      </c>
      <c r="AC37" s="4" t="n">
        <f aca="false">AB37*1.18</f>
        <v>32570.3718</v>
      </c>
    </row>
    <row r="38" customFormat="false" ht="15" hidden="false" customHeight="false" outlineLevel="0" collapsed="false">
      <c r="A38" s="0" t="s">
        <v>29</v>
      </c>
      <c r="B38" s="2" t="n">
        <v>46063</v>
      </c>
      <c r="C38" s="3" t="s">
        <v>262</v>
      </c>
      <c r="D38" s="3" t="s">
        <v>31</v>
      </c>
      <c r="E38" s="3" t="s">
        <v>32</v>
      </c>
      <c r="F38" s="3" t="s">
        <v>85</v>
      </c>
      <c r="G38" s="0" t="n">
        <v>24</v>
      </c>
      <c r="H38" s="0" t="n">
        <v>1490.01</v>
      </c>
      <c r="I38" s="0" t="n">
        <v>1639.46</v>
      </c>
      <c r="J38" s="2" t="n">
        <v>46062</v>
      </c>
      <c r="K38" s="3" t="s">
        <v>263</v>
      </c>
      <c r="L38" s="2" t="n">
        <v>46063</v>
      </c>
      <c r="M38" s="3" t="s">
        <v>264</v>
      </c>
      <c r="N38" s="2" t="n">
        <v>46062</v>
      </c>
      <c r="O38" s="3" t="s">
        <v>265</v>
      </c>
      <c r="P38" s="3" t="s">
        <v>266</v>
      </c>
      <c r="Q38" s="2" t="n">
        <v>46063</v>
      </c>
      <c r="R38" s="3" t="s">
        <v>267</v>
      </c>
      <c r="S38" s="3" t="s">
        <v>184</v>
      </c>
      <c r="T38" s="3" t="s">
        <v>40</v>
      </c>
      <c r="U38" s="3" t="s">
        <v>40</v>
      </c>
      <c r="V38" s="3" t="s">
        <v>40</v>
      </c>
      <c r="W38" s="0" t="n">
        <v>0.5493</v>
      </c>
      <c r="X38" s="0" t="n">
        <v>1.5</v>
      </c>
      <c r="Y38" s="0" t="n">
        <v>-0.9507</v>
      </c>
      <c r="Z38" s="0" t="n">
        <v>-1</v>
      </c>
      <c r="AA38" s="0" t="n">
        <v>3</v>
      </c>
      <c r="AB38" s="4" t="n">
        <f aca="false">I38*AA38*Z38</f>
        <v>-4918.38</v>
      </c>
      <c r="AC38" s="4" t="n">
        <f aca="false">AB38*1.18</f>
        <v>-5803.6884</v>
      </c>
    </row>
    <row r="39" customFormat="false" ht="15" hidden="false" customHeight="false" outlineLevel="0" collapsed="false">
      <c r="A39" s="0" t="s">
        <v>41</v>
      </c>
      <c r="B39" s="2" t="n">
        <v>46063</v>
      </c>
      <c r="C39" s="3" t="s">
        <v>268</v>
      </c>
      <c r="D39" s="3" t="s">
        <v>31</v>
      </c>
      <c r="E39" s="3" t="s">
        <v>32</v>
      </c>
      <c r="F39" s="3" t="s">
        <v>85</v>
      </c>
      <c r="G39" s="0" t="n">
        <v>48</v>
      </c>
      <c r="H39" s="0" t="n">
        <v>1460.36</v>
      </c>
      <c r="I39" s="0" t="n">
        <v>2190.71</v>
      </c>
      <c r="J39" s="2" t="n">
        <v>46061</v>
      </c>
      <c r="K39" s="3" t="s">
        <v>269</v>
      </c>
      <c r="L39" s="2" t="n">
        <v>46061</v>
      </c>
      <c r="M39" s="3" t="s">
        <v>270</v>
      </c>
      <c r="N39" s="2" t="n">
        <v>46062</v>
      </c>
      <c r="O39" s="3" t="s">
        <v>271</v>
      </c>
      <c r="P39" s="3" t="s">
        <v>272</v>
      </c>
      <c r="Q39" s="2" t="n">
        <v>46063</v>
      </c>
      <c r="R39" s="3" t="s">
        <v>273</v>
      </c>
      <c r="S39" s="3" t="s">
        <v>48</v>
      </c>
      <c r="T39" s="3" t="s">
        <v>40</v>
      </c>
      <c r="U39" s="3" t="s">
        <v>40</v>
      </c>
      <c r="V39" s="3" t="s">
        <v>40</v>
      </c>
      <c r="W39" s="0" t="n">
        <v>3.6938</v>
      </c>
      <c r="X39" s="0" t="n">
        <v>1.5</v>
      </c>
      <c r="Y39" s="0" t="n">
        <v>2.1938</v>
      </c>
      <c r="Z39" s="0" t="n">
        <v>2</v>
      </c>
      <c r="AA39" s="0" t="n">
        <v>3</v>
      </c>
      <c r="AB39" s="4" t="n">
        <f aca="false">I39*AA39*Z39</f>
        <v>13144.26</v>
      </c>
      <c r="AC39" s="4" t="n">
        <f aca="false">AB39*1.18</f>
        <v>15510.2268</v>
      </c>
    </row>
    <row r="40" customFormat="false" ht="15" hidden="false" customHeight="false" outlineLevel="0" collapsed="false">
      <c r="A40" s="0" t="s">
        <v>29</v>
      </c>
      <c r="B40" s="2" t="n">
        <v>46064</v>
      </c>
      <c r="C40" s="3" t="s">
        <v>274</v>
      </c>
      <c r="D40" s="3" t="s">
        <v>31</v>
      </c>
      <c r="E40" s="3" t="s">
        <v>32</v>
      </c>
      <c r="F40" s="3" t="s">
        <v>51</v>
      </c>
      <c r="G40" s="0" t="n">
        <v>220</v>
      </c>
      <c r="H40" s="0" t="n">
        <v>660.21</v>
      </c>
      <c r="I40" s="0" t="n">
        <v>726.25</v>
      </c>
      <c r="J40" s="2" t="n">
        <v>46061</v>
      </c>
      <c r="K40" s="3" t="s">
        <v>275</v>
      </c>
      <c r="L40" s="2" t="n">
        <v>46061</v>
      </c>
      <c r="M40" s="3" t="s">
        <v>276</v>
      </c>
      <c r="N40" s="2" t="n">
        <v>46062</v>
      </c>
      <c r="O40" s="3" t="s">
        <v>277</v>
      </c>
      <c r="P40" s="3" t="s">
        <v>278</v>
      </c>
      <c r="Q40" s="2" t="n">
        <v>46064</v>
      </c>
      <c r="R40" s="3" t="s">
        <v>203</v>
      </c>
      <c r="S40" s="3" t="s">
        <v>279</v>
      </c>
      <c r="T40" s="3" t="s">
        <v>40</v>
      </c>
      <c r="U40" s="3" t="s">
        <v>40</v>
      </c>
      <c r="V40" s="3" t="s">
        <v>40</v>
      </c>
      <c r="W40" s="0" t="n">
        <v>4.6729</v>
      </c>
      <c r="X40" s="0" t="n">
        <v>1.5</v>
      </c>
      <c r="Y40" s="0" t="n">
        <v>3.1729</v>
      </c>
      <c r="Z40" s="0" t="n">
        <v>3</v>
      </c>
      <c r="AA40" s="0" t="n">
        <v>3</v>
      </c>
      <c r="AB40" s="4" t="n">
        <f aca="false">I40*AA40*Z40</f>
        <v>6536.25</v>
      </c>
      <c r="AC40" s="4" t="n">
        <f aca="false">AB40*1.18</f>
        <v>7712.775</v>
      </c>
    </row>
    <row r="41" customFormat="false" ht="15" hidden="false" customHeight="false" outlineLevel="0" collapsed="false">
      <c r="A41" s="0" t="s">
        <v>29</v>
      </c>
      <c r="B41" s="2" t="n">
        <v>46064</v>
      </c>
      <c r="C41" s="3" t="s">
        <v>280</v>
      </c>
      <c r="D41" s="3" t="s">
        <v>50</v>
      </c>
      <c r="E41" s="3" t="s">
        <v>32</v>
      </c>
      <c r="F41" s="3" t="s">
        <v>33</v>
      </c>
      <c r="G41" s="0" t="n">
        <v>209</v>
      </c>
      <c r="H41" s="0" t="n">
        <v>2421.56</v>
      </c>
      <c r="I41" s="0" t="n">
        <v>2663.96</v>
      </c>
      <c r="J41" s="2" t="n">
        <v>46061</v>
      </c>
      <c r="K41" s="3" t="s">
        <v>281</v>
      </c>
      <c r="L41" s="2" t="n">
        <v>46062</v>
      </c>
      <c r="M41" s="3" t="s">
        <v>282</v>
      </c>
      <c r="N41" s="2" t="n">
        <v>46062</v>
      </c>
      <c r="O41" s="3" t="s">
        <v>283</v>
      </c>
      <c r="P41" s="3" t="s">
        <v>284</v>
      </c>
      <c r="Q41" s="2" t="n">
        <v>46064</v>
      </c>
      <c r="R41" s="3" t="s">
        <v>285</v>
      </c>
      <c r="S41" s="3" t="s">
        <v>184</v>
      </c>
      <c r="T41" s="3" t="s">
        <v>40</v>
      </c>
      <c r="U41" s="3" t="s">
        <v>40</v>
      </c>
      <c r="V41" s="3" t="s">
        <v>40</v>
      </c>
      <c r="W41" s="0" t="n">
        <v>1.1043</v>
      </c>
      <c r="X41" s="0" t="n">
        <v>1.5</v>
      </c>
      <c r="Y41" s="0" t="n">
        <v>-0.3957</v>
      </c>
      <c r="Z41" s="0" t="n">
        <v>-1</v>
      </c>
      <c r="AA41" s="0" t="n">
        <v>3</v>
      </c>
      <c r="AB41" s="4" t="n">
        <f aca="false">I41*AA41*Z41</f>
        <v>-7991.88</v>
      </c>
      <c r="AC41" s="4" t="n">
        <f aca="false">AB41*1.18</f>
        <v>-9430.4184</v>
      </c>
    </row>
    <row r="42" customFormat="false" ht="15" hidden="false" customHeight="false" outlineLevel="0" collapsed="false">
      <c r="A42" s="0" t="s">
        <v>41</v>
      </c>
      <c r="B42" s="2" t="n">
        <v>46064</v>
      </c>
      <c r="C42" s="3" t="s">
        <v>286</v>
      </c>
      <c r="D42" s="3" t="s">
        <v>31</v>
      </c>
      <c r="E42" s="3" t="s">
        <v>32</v>
      </c>
      <c r="F42" s="3" t="s">
        <v>85</v>
      </c>
      <c r="G42" s="0" t="n">
        <v>175</v>
      </c>
      <c r="H42" s="0" t="n">
        <v>738.45</v>
      </c>
      <c r="I42" s="0" t="n">
        <v>960.2</v>
      </c>
      <c r="J42" s="2" t="n">
        <v>46061</v>
      </c>
      <c r="K42" s="3" t="s">
        <v>287</v>
      </c>
      <c r="L42" s="2" t="n">
        <v>46062</v>
      </c>
      <c r="M42" s="3" t="s">
        <v>288</v>
      </c>
      <c r="N42" s="2" t="n">
        <v>46061</v>
      </c>
      <c r="O42" s="3" t="s">
        <v>289</v>
      </c>
      <c r="P42" s="3" t="s">
        <v>290</v>
      </c>
      <c r="Q42" s="2" t="n">
        <v>46064</v>
      </c>
      <c r="R42" s="3" t="s">
        <v>291</v>
      </c>
      <c r="S42" s="3" t="s">
        <v>91</v>
      </c>
      <c r="T42" s="3" t="s">
        <v>40</v>
      </c>
      <c r="U42" s="3" t="s">
        <v>40</v>
      </c>
      <c r="V42" s="3" t="s">
        <v>40</v>
      </c>
      <c r="W42" s="0" t="n">
        <v>5.3385</v>
      </c>
      <c r="X42" s="0" t="n">
        <v>1.5</v>
      </c>
      <c r="Y42" s="0" t="n">
        <v>3.8385</v>
      </c>
      <c r="Z42" s="0" t="n">
        <v>4</v>
      </c>
      <c r="AA42" s="0" t="n">
        <v>3</v>
      </c>
      <c r="AB42" s="4" t="n">
        <f aca="false">I42*AA42*Z42</f>
        <v>11522.4</v>
      </c>
      <c r="AC42" s="4" t="n">
        <f aca="false">AB42*1.18</f>
        <v>13596.432</v>
      </c>
    </row>
    <row r="43" customFormat="false" ht="15" hidden="false" customHeight="false" outlineLevel="0" collapsed="false">
      <c r="A43" s="0" t="s">
        <v>29</v>
      </c>
      <c r="B43" s="2" t="n">
        <v>46065</v>
      </c>
      <c r="C43" s="3" t="s">
        <v>292</v>
      </c>
      <c r="D43" s="3" t="s">
        <v>50</v>
      </c>
      <c r="E43" s="3" t="s">
        <v>32</v>
      </c>
      <c r="F43" s="3" t="s">
        <v>51</v>
      </c>
      <c r="G43" s="0" t="n">
        <v>155</v>
      </c>
      <c r="H43" s="0" t="n">
        <v>931.81</v>
      </c>
      <c r="I43" s="0" t="n">
        <v>1398.18</v>
      </c>
      <c r="J43" s="2" t="n">
        <v>46063</v>
      </c>
      <c r="K43" s="3" t="s">
        <v>293</v>
      </c>
      <c r="L43" s="2" t="n">
        <v>46063</v>
      </c>
      <c r="M43" s="3" t="s">
        <v>294</v>
      </c>
      <c r="N43" s="2" t="n">
        <v>46063</v>
      </c>
      <c r="O43" s="3" t="s">
        <v>295</v>
      </c>
      <c r="P43" s="3" t="s">
        <v>296</v>
      </c>
      <c r="Q43" s="2" t="n">
        <v>46065</v>
      </c>
      <c r="R43" s="3" t="s">
        <v>297</v>
      </c>
      <c r="S43" s="3" t="s">
        <v>256</v>
      </c>
      <c r="T43" s="3" t="s">
        <v>40</v>
      </c>
      <c r="U43" s="3" t="s">
        <v>40</v>
      </c>
      <c r="V43" s="3" t="s">
        <v>40</v>
      </c>
      <c r="W43" s="0" t="n">
        <v>4.0071</v>
      </c>
      <c r="X43" s="0" t="n">
        <v>1.5</v>
      </c>
      <c r="Y43" s="0" t="n">
        <v>2.5071</v>
      </c>
      <c r="Z43" s="0" t="n">
        <v>3</v>
      </c>
      <c r="AA43" s="0" t="n">
        <v>3</v>
      </c>
      <c r="AB43" s="4" t="n">
        <f aca="false">I43*AA43*Z43</f>
        <v>12583.62</v>
      </c>
      <c r="AC43" s="4" t="n">
        <f aca="false">AB43*1.18</f>
        <v>14848.6716</v>
      </c>
    </row>
    <row r="44" customFormat="false" ht="15" hidden="false" customHeight="false" outlineLevel="0" collapsed="false">
      <c r="A44" s="0" t="s">
        <v>29</v>
      </c>
      <c r="B44" s="2" t="n">
        <v>46065</v>
      </c>
      <c r="C44" s="3" t="s">
        <v>298</v>
      </c>
      <c r="D44" s="3" t="s">
        <v>31</v>
      </c>
      <c r="E44" s="3" t="s">
        <v>32</v>
      </c>
      <c r="F44" s="3" t="s">
        <v>33</v>
      </c>
      <c r="G44" s="0" t="n">
        <v>36</v>
      </c>
      <c r="H44" s="0" t="n">
        <v>288.33</v>
      </c>
      <c r="I44" s="0" t="n">
        <v>432.68</v>
      </c>
      <c r="J44" s="2" t="n">
        <v>46062</v>
      </c>
      <c r="K44" s="3" t="s">
        <v>299</v>
      </c>
      <c r="L44" s="2" t="n">
        <v>46063</v>
      </c>
      <c r="M44" s="3" t="s">
        <v>300</v>
      </c>
      <c r="N44" s="2" t="n">
        <v>46062</v>
      </c>
      <c r="O44" s="3" t="s">
        <v>301</v>
      </c>
      <c r="P44" s="3" t="s">
        <v>302</v>
      </c>
      <c r="Q44" s="2" t="n">
        <v>46065</v>
      </c>
      <c r="R44" s="3" t="s">
        <v>303</v>
      </c>
      <c r="S44" s="3" t="s">
        <v>91</v>
      </c>
      <c r="T44" s="3" t="s">
        <v>40</v>
      </c>
      <c r="U44" s="3" t="s">
        <v>40</v>
      </c>
      <c r="V44" s="3" t="s">
        <v>40</v>
      </c>
      <c r="W44" s="0" t="n">
        <v>3.3925</v>
      </c>
      <c r="X44" s="0" t="n">
        <v>1.5</v>
      </c>
      <c r="Y44" s="0" t="n">
        <v>1.8925</v>
      </c>
      <c r="Z44" s="0" t="n">
        <v>2</v>
      </c>
      <c r="AA44" s="0" t="n">
        <v>3</v>
      </c>
      <c r="AB44" s="4" t="n">
        <f aca="false">I44*AA44*Z44</f>
        <v>2596.08</v>
      </c>
      <c r="AC44" s="4" t="n">
        <f aca="false">AB44*1.18</f>
        <v>3063.3744</v>
      </c>
    </row>
    <row r="45" customFormat="false" ht="15" hidden="false" customHeight="false" outlineLevel="0" collapsed="false">
      <c r="A45" s="0" t="s">
        <v>41</v>
      </c>
      <c r="B45" s="2" t="n">
        <v>46065</v>
      </c>
      <c r="C45" s="3" t="s">
        <v>304</v>
      </c>
      <c r="D45" s="3" t="s">
        <v>31</v>
      </c>
      <c r="E45" s="3" t="s">
        <v>32</v>
      </c>
      <c r="F45" s="3" t="s">
        <v>33</v>
      </c>
      <c r="G45" s="0" t="n">
        <v>51</v>
      </c>
      <c r="H45" s="0" t="n">
        <v>81.02</v>
      </c>
      <c r="I45" s="0" t="n">
        <v>81.33</v>
      </c>
      <c r="J45" s="2" t="n">
        <v>46064</v>
      </c>
      <c r="K45" s="3" t="s">
        <v>305</v>
      </c>
      <c r="L45" s="2" t="n">
        <v>46064</v>
      </c>
      <c r="M45" s="3" t="s">
        <v>306</v>
      </c>
      <c r="N45" s="2" t="n">
        <v>46064</v>
      </c>
      <c r="O45" s="3" t="s">
        <v>307</v>
      </c>
      <c r="P45" s="3" t="s">
        <v>308</v>
      </c>
      <c r="Q45" s="2" t="n">
        <v>46065</v>
      </c>
      <c r="R45" s="3" t="s">
        <v>309</v>
      </c>
      <c r="S45" s="3" t="s">
        <v>279</v>
      </c>
      <c r="T45" s="3" t="s">
        <v>40</v>
      </c>
      <c r="U45" s="3" t="s">
        <v>40</v>
      </c>
      <c r="V45" s="3" t="s">
        <v>40</v>
      </c>
      <c r="W45" s="0" t="n">
        <v>2.0556</v>
      </c>
      <c r="X45" s="0" t="n">
        <v>1.5</v>
      </c>
      <c r="Y45" s="0" t="n">
        <v>0.5556</v>
      </c>
      <c r="Z45" s="0" t="n">
        <v>1</v>
      </c>
      <c r="AA45" s="0" t="n">
        <v>3</v>
      </c>
      <c r="AB45" s="4" t="n">
        <f aca="false">I45*AA45*Z45</f>
        <v>243.99</v>
      </c>
      <c r="AC45" s="4" t="n">
        <f aca="false">AB45*1.18</f>
        <v>287.9082</v>
      </c>
    </row>
    <row r="46" customFormat="false" ht="15" hidden="false" customHeight="false" outlineLevel="0" collapsed="false">
      <c r="A46" s="0" t="s">
        <v>41</v>
      </c>
      <c r="B46" s="2" t="n">
        <v>46065</v>
      </c>
      <c r="C46" s="3" t="s">
        <v>310</v>
      </c>
      <c r="D46" s="3" t="s">
        <v>31</v>
      </c>
      <c r="E46" s="3" t="s">
        <v>32</v>
      </c>
      <c r="F46" s="3" t="s">
        <v>85</v>
      </c>
      <c r="G46" s="0" t="n">
        <v>155</v>
      </c>
      <c r="H46" s="0" t="n">
        <v>3177.13</v>
      </c>
      <c r="I46" s="0" t="n">
        <v>3177.35</v>
      </c>
      <c r="J46" s="2" t="n">
        <v>46062</v>
      </c>
      <c r="K46" s="3" t="s">
        <v>311</v>
      </c>
      <c r="L46" s="2" t="n">
        <v>46062</v>
      </c>
      <c r="M46" s="3" t="s">
        <v>312</v>
      </c>
      <c r="N46" s="2" t="n">
        <v>46062</v>
      </c>
      <c r="O46" s="3" t="s">
        <v>313</v>
      </c>
      <c r="P46" s="3" t="s">
        <v>314</v>
      </c>
      <c r="Q46" s="2" t="n">
        <v>46065</v>
      </c>
      <c r="R46" s="3" t="s">
        <v>241</v>
      </c>
      <c r="S46" s="3" t="s">
        <v>57</v>
      </c>
      <c r="T46" s="3" t="s">
        <v>40</v>
      </c>
      <c r="U46" s="3" t="s">
        <v>40</v>
      </c>
      <c r="V46" s="3" t="s">
        <v>40</v>
      </c>
      <c r="W46" s="0" t="n">
        <v>0.5791</v>
      </c>
      <c r="X46" s="0" t="n">
        <v>1.5</v>
      </c>
      <c r="Y46" s="0" t="n">
        <v>-0.9209</v>
      </c>
      <c r="Z46" s="0" t="n">
        <v>-1</v>
      </c>
      <c r="AA46" s="0" t="n">
        <v>3</v>
      </c>
      <c r="AB46" s="4" t="n">
        <f aca="false">I46*AA46*Z46</f>
        <v>-9532.05</v>
      </c>
      <c r="AC46" s="4" t="n">
        <f aca="false">AB46*1.18</f>
        <v>-11247.819</v>
      </c>
    </row>
    <row r="47" customFormat="false" ht="15" hidden="false" customHeight="false" outlineLevel="0" collapsed="false">
      <c r="A47" s="0" t="s">
        <v>41</v>
      </c>
      <c r="B47" s="2" t="n">
        <v>46065</v>
      </c>
      <c r="C47" s="3" t="s">
        <v>315</v>
      </c>
      <c r="D47" s="3" t="s">
        <v>31</v>
      </c>
      <c r="E47" s="3" t="s">
        <v>32</v>
      </c>
      <c r="F47" s="3" t="s">
        <v>85</v>
      </c>
      <c r="G47" s="0" t="n">
        <v>132</v>
      </c>
      <c r="H47" s="0" t="n">
        <v>735.27</v>
      </c>
      <c r="I47" s="0" t="n">
        <v>1103.04</v>
      </c>
      <c r="J47" s="2" t="n">
        <v>46062</v>
      </c>
      <c r="K47" s="3" t="s">
        <v>316</v>
      </c>
      <c r="L47" s="2" t="n">
        <v>46062</v>
      </c>
      <c r="M47" s="3" t="s">
        <v>317</v>
      </c>
      <c r="N47" s="2" t="n">
        <v>46062</v>
      </c>
      <c r="O47" s="3" t="s">
        <v>318</v>
      </c>
      <c r="P47" s="3" t="s">
        <v>319</v>
      </c>
      <c r="Q47" s="2" t="n">
        <v>46065</v>
      </c>
      <c r="R47" s="3" t="s">
        <v>320</v>
      </c>
      <c r="S47" s="3" t="s">
        <v>279</v>
      </c>
      <c r="T47" s="3" t="s">
        <v>92</v>
      </c>
      <c r="U47" s="3" t="s">
        <v>92</v>
      </c>
      <c r="V47" s="3" t="s">
        <v>92</v>
      </c>
      <c r="W47" s="0" t="n">
        <v>2.8879</v>
      </c>
      <c r="X47" s="0" t="n">
        <v>1.5</v>
      </c>
      <c r="Y47" s="0" t="n">
        <v>1.3879</v>
      </c>
      <c r="Z47" s="0" t="n">
        <v>1</v>
      </c>
      <c r="AA47" s="0" t="n">
        <v>5</v>
      </c>
      <c r="AB47" s="4" t="n">
        <f aca="false">I47*AA47*Z47</f>
        <v>5515.2</v>
      </c>
      <c r="AC47" s="4" t="n">
        <f aca="false">AB47*1.18</f>
        <v>6507.936</v>
      </c>
    </row>
    <row r="48" customFormat="false" ht="15" hidden="false" customHeight="false" outlineLevel="0" collapsed="false">
      <c r="A48" s="0" t="s">
        <v>41</v>
      </c>
      <c r="B48" s="2" t="n">
        <v>46065</v>
      </c>
      <c r="C48" s="3" t="s">
        <v>321</v>
      </c>
      <c r="D48" s="3" t="s">
        <v>50</v>
      </c>
      <c r="E48" s="3" t="s">
        <v>32</v>
      </c>
      <c r="F48" s="3" t="s">
        <v>85</v>
      </c>
      <c r="G48" s="0" t="n">
        <v>200</v>
      </c>
      <c r="H48" s="0" t="n">
        <v>2373.16</v>
      </c>
      <c r="I48" s="0" t="n">
        <v>3085.15</v>
      </c>
      <c r="J48" s="2" t="n">
        <v>46063</v>
      </c>
      <c r="K48" s="3" t="s">
        <v>300</v>
      </c>
      <c r="L48" s="2" t="n">
        <v>46064</v>
      </c>
      <c r="M48" s="3" t="s">
        <v>322</v>
      </c>
      <c r="N48" s="2" t="n">
        <v>46063</v>
      </c>
      <c r="O48" s="3" t="s">
        <v>323</v>
      </c>
      <c r="P48" s="3" t="s">
        <v>324</v>
      </c>
      <c r="Q48" s="2" t="n">
        <v>46065</v>
      </c>
      <c r="R48" s="3" t="s">
        <v>325</v>
      </c>
      <c r="S48" s="3" t="s">
        <v>48</v>
      </c>
      <c r="T48" s="3" t="s">
        <v>40</v>
      </c>
      <c r="U48" s="3" t="s">
        <v>40</v>
      </c>
      <c r="V48" s="3" t="s">
        <v>40</v>
      </c>
      <c r="W48" s="0" t="n">
        <v>2.1938</v>
      </c>
      <c r="X48" s="0" t="n">
        <v>1.5</v>
      </c>
      <c r="Y48" s="0" t="n">
        <v>0.6938</v>
      </c>
      <c r="Z48" s="0" t="n">
        <v>1</v>
      </c>
      <c r="AA48" s="0" t="n">
        <v>3</v>
      </c>
      <c r="AB48" s="4" t="n">
        <f aca="false">I48*AA48*Z48</f>
        <v>9255.45</v>
      </c>
      <c r="AC48" s="4" t="n">
        <f aca="false">AB48*1.18</f>
        <v>10921.431</v>
      </c>
    </row>
    <row r="49" customFormat="false" ht="15" hidden="false" customHeight="false" outlineLevel="0" collapsed="false">
      <c r="A49" s="0" t="s">
        <v>41</v>
      </c>
      <c r="B49" s="2" t="n">
        <v>46065</v>
      </c>
      <c r="C49" s="3" t="s">
        <v>326</v>
      </c>
      <c r="D49" s="3" t="s">
        <v>31</v>
      </c>
      <c r="E49" s="3" t="s">
        <v>32</v>
      </c>
      <c r="F49" s="3" t="s">
        <v>51</v>
      </c>
      <c r="G49" s="0" t="n">
        <v>44</v>
      </c>
      <c r="H49" s="0" t="n">
        <v>2342.6</v>
      </c>
      <c r="I49" s="0" t="n">
        <v>3514.31</v>
      </c>
      <c r="J49" s="2" t="n">
        <v>46063</v>
      </c>
      <c r="K49" s="3" t="s">
        <v>327</v>
      </c>
      <c r="L49" s="2" t="n">
        <v>46063</v>
      </c>
      <c r="M49" s="3" t="s">
        <v>328</v>
      </c>
      <c r="N49" s="2" t="n">
        <v>46064</v>
      </c>
      <c r="O49" s="3" t="s">
        <v>329</v>
      </c>
      <c r="P49" s="3" t="s">
        <v>330</v>
      </c>
      <c r="Q49" s="2" t="n">
        <v>46065</v>
      </c>
      <c r="R49" s="3" t="s">
        <v>331</v>
      </c>
      <c r="S49" s="3" t="s">
        <v>69</v>
      </c>
      <c r="T49" s="3" t="s">
        <v>40</v>
      </c>
      <c r="U49" s="3" t="s">
        <v>40</v>
      </c>
      <c r="V49" s="3" t="s">
        <v>40</v>
      </c>
      <c r="W49" s="0" t="n">
        <v>1.9779</v>
      </c>
      <c r="X49" s="0" t="n">
        <v>1.5</v>
      </c>
      <c r="Y49" s="0" t="n">
        <v>0.4779</v>
      </c>
      <c r="Z49" s="0" t="n">
        <v>1</v>
      </c>
      <c r="AA49" s="0" t="n">
        <v>3</v>
      </c>
      <c r="AB49" s="4" t="n">
        <f aca="false">I49*AA49*Z49</f>
        <v>10542.93</v>
      </c>
      <c r="AC49" s="4" t="n">
        <f aca="false">AB49*1.18</f>
        <v>12440.6574</v>
      </c>
    </row>
    <row r="50" customFormat="false" ht="15" hidden="false" customHeight="false" outlineLevel="0" collapsed="false">
      <c r="A50" s="0" t="s">
        <v>41</v>
      </c>
      <c r="B50" s="2" t="n">
        <v>46066</v>
      </c>
      <c r="C50" s="3" t="s">
        <v>332</v>
      </c>
      <c r="D50" s="3" t="s">
        <v>50</v>
      </c>
      <c r="E50" s="3" t="s">
        <v>32</v>
      </c>
      <c r="F50" s="3" t="s">
        <v>33</v>
      </c>
      <c r="G50" s="0" t="n">
        <v>46</v>
      </c>
      <c r="H50" s="0" t="n">
        <v>717.51</v>
      </c>
      <c r="I50" s="0" t="n">
        <v>717.67</v>
      </c>
      <c r="J50" s="2" t="n">
        <v>46063</v>
      </c>
      <c r="K50" s="3" t="s">
        <v>333</v>
      </c>
      <c r="L50" s="2" t="n">
        <v>46063</v>
      </c>
      <c r="M50" s="3" t="s">
        <v>334</v>
      </c>
      <c r="N50" s="2" t="n">
        <v>46063</v>
      </c>
      <c r="O50" s="3" t="s">
        <v>335</v>
      </c>
      <c r="P50" s="3" t="s">
        <v>336</v>
      </c>
      <c r="Q50" s="2" t="n">
        <v>46066</v>
      </c>
      <c r="R50" s="3" t="s">
        <v>337</v>
      </c>
      <c r="S50" s="3" t="s">
        <v>69</v>
      </c>
      <c r="T50" s="3" t="s">
        <v>40</v>
      </c>
      <c r="U50" s="3" t="s">
        <v>40</v>
      </c>
      <c r="V50" s="3" t="s">
        <v>40</v>
      </c>
      <c r="W50" s="0" t="n">
        <v>4.4089</v>
      </c>
      <c r="X50" s="0" t="n">
        <v>1.5</v>
      </c>
      <c r="Y50" s="0" t="n">
        <v>2.9089</v>
      </c>
      <c r="Z50" s="0" t="n">
        <v>3</v>
      </c>
      <c r="AA50" s="0" t="n">
        <v>3</v>
      </c>
      <c r="AB50" s="4" t="n">
        <f aca="false">I50*AA50*Z50</f>
        <v>6459.03</v>
      </c>
      <c r="AC50" s="4" t="n">
        <f aca="false">AB50*1.18</f>
        <v>7621.6554</v>
      </c>
    </row>
    <row r="51" customFormat="false" ht="15" hidden="false" customHeight="false" outlineLevel="0" collapsed="false">
      <c r="A51" s="0" t="s">
        <v>29</v>
      </c>
      <c r="B51" s="2" t="n">
        <v>46067</v>
      </c>
      <c r="C51" s="3" t="s">
        <v>338</v>
      </c>
      <c r="D51" s="3" t="s">
        <v>50</v>
      </c>
      <c r="E51" s="3" t="s">
        <v>32</v>
      </c>
      <c r="F51" s="3" t="s">
        <v>33</v>
      </c>
      <c r="G51" s="0" t="n">
        <v>41</v>
      </c>
      <c r="H51" s="0" t="n">
        <v>643.08</v>
      </c>
      <c r="I51" s="0" t="n">
        <v>643.3</v>
      </c>
      <c r="J51" s="2" t="n">
        <v>46066</v>
      </c>
      <c r="K51" s="3" t="s">
        <v>339</v>
      </c>
      <c r="L51" s="2" t="n">
        <v>46066</v>
      </c>
      <c r="M51" s="3" t="s">
        <v>340</v>
      </c>
      <c r="N51" s="2" t="n">
        <v>46067</v>
      </c>
      <c r="O51" s="3" t="s">
        <v>341</v>
      </c>
      <c r="P51" s="3" t="s">
        <v>342</v>
      </c>
      <c r="Q51" s="2" t="n">
        <v>46067</v>
      </c>
      <c r="R51" s="3" t="s">
        <v>343</v>
      </c>
      <c r="S51" s="3" t="s">
        <v>256</v>
      </c>
      <c r="T51" s="3" t="s">
        <v>40</v>
      </c>
      <c r="U51" s="3" t="s">
        <v>40</v>
      </c>
      <c r="V51" s="3" t="s">
        <v>40</v>
      </c>
      <c r="W51" s="0" t="n">
        <v>4.2441</v>
      </c>
      <c r="X51" s="0" t="n">
        <v>1.5</v>
      </c>
      <c r="Y51" s="0" t="n">
        <v>2.7441</v>
      </c>
      <c r="Z51" s="0" t="n">
        <v>3</v>
      </c>
      <c r="AA51" s="0" t="n">
        <v>3</v>
      </c>
      <c r="AB51" s="4" t="n">
        <f aca="false">I51*AA51*Z51</f>
        <v>5789.7</v>
      </c>
      <c r="AC51" s="4" t="n">
        <f aca="false">AB51*1.18</f>
        <v>6831.846</v>
      </c>
    </row>
    <row r="52" customFormat="false" ht="15" hidden="false" customHeight="false" outlineLevel="0" collapsed="false">
      <c r="A52" s="0" t="s">
        <v>29</v>
      </c>
      <c r="B52" s="2" t="n">
        <v>46067</v>
      </c>
      <c r="C52" s="3" t="s">
        <v>344</v>
      </c>
      <c r="D52" s="3" t="s">
        <v>31</v>
      </c>
      <c r="E52" s="3" t="s">
        <v>32</v>
      </c>
      <c r="F52" s="3" t="s">
        <v>85</v>
      </c>
      <c r="G52" s="0" t="n">
        <v>172</v>
      </c>
      <c r="H52" s="0" t="n">
        <v>1165.88</v>
      </c>
      <c r="I52" s="0" t="n">
        <v>1282.83</v>
      </c>
      <c r="J52" s="2" t="n">
        <v>46066</v>
      </c>
      <c r="K52" s="3" t="s">
        <v>345</v>
      </c>
      <c r="L52" s="2" t="n">
        <v>46067</v>
      </c>
      <c r="M52" s="3" t="s">
        <v>346</v>
      </c>
      <c r="N52" s="2" t="n">
        <v>46067</v>
      </c>
      <c r="O52" s="3" t="s">
        <v>347</v>
      </c>
      <c r="P52" s="3" t="s">
        <v>348</v>
      </c>
      <c r="Q52" s="2" t="n">
        <v>46067</v>
      </c>
      <c r="R52" s="3" t="s">
        <v>349</v>
      </c>
      <c r="S52" s="3" t="s">
        <v>184</v>
      </c>
      <c r="T52" s="3" t="s">
        <v>40</v>
      </c>
      <c r="U52" s="3" t="s">
        <v>40</v>
      </c>
      <c r="V52" s="3" t="s">
        <v>40</v>
      </c>
      <c r="W52" s="0" t="n">
        <v>4.7956</v>
      </c>
      <c r="X52" s="0" t="n">
        <v>1.5</v>
      </c>
      <c r="Y52" s="0" t="n">
        <v>3.2956</v>
      </c>
      <c r="Z52" s="0" t="n">
        <v>3</v>
      </c>
      <c r="AA52" s="0" t="n">
        <v>3</v>
      </c>
      <c r="AB52" s="4" t="n">
        <f aca="false">I52*AA52*Z52</f>
        <v>11545.47</v>
      </c>
      <c r="AC52" s="4" t="n">
        <f aca="false">AB52*1.18</f>
        <v>13623.6546</v>
      </c>
    </row>
    <row r="53" customFormat="false" ht="15" hidden="false" customHeight="false" outlineLevel="0" collapsed="false">
      <c r="A53" s="0" t="s">
        <v>29</v>
      </c>
      <c r="B53" s="2" t="n">
        <v>46067</v>
      </c>
      <c r="C53" s="3" t="s">
        <v>350</v>
      </c>
      <c r="D53" s="3" t="s">
        <v>31</v>
      </c>
      <c r="E53" s="3" t="s">
        <v>32</v>
      </c>
      <c r="F53" s="3" t="s">
        <v>33</v>
      </c>
      <c r="G53" s="0" t="n">
        <v>43</v>
      </c>
      <c r="H53" s="0" t="n">
        <v>325.98</v>
      </c>
      <c r="I53" s="0" t="n">
        <v>326.08</v>
      </c>
      <c r="J53" s="2" t="n">
        <v>46066</v>
      </c>
      <c r="K53" s="3" t="s">
        <v>351</v>
      </c>
      <c r="L53" s="2" t="n">
        <v>46066</v>
      </c>
      <c r="M53" s="3" t="s">
        <v>352</v>
      </c>
      <c r="N53" s="2" t="n">
        <v>46067</v>
      </c>
      <c r="O53" s="3" t="s">
        <v>353</v>
      </c>
      <c r="P53" s="3" t="s">
        <v>354</v>
      </c>
      <c r="Q53" s="2" t="n">
        <v>46067</v>
      </c>
      <c r="R53" s="3" t="s">
        <v>241</v>
      </c>
      <c r="S53" s="3" t="s">
        <v>99</v>
      </c>
      <c r="T53" s="3" t="s">
        <v>40</v>
      </c>
      <c r="U53" s="3" t="s">
        <v>40</v>
      </c>
      <c r="V53" s="3" t="s">
        <v>40</v>
      </c>
      <c r="W53" s="0" t="n">
        <v>4.9556</v>
      </c>
      <c r="X53" s="0" t="n">
        <v>1.5</v>
      </c>
      <c r="Y53" s="0" t="n">
        <v>3.4556</v>
      </c>
      <c r="Z53" s="0" t="n">
        <v>3</v>
      </c>
      <c r="AA53" s="0" t="n">
        <v>3</v>
      </c>
      <c r="AB53" s="4" t="n">
        <f aca="false">I53*AA53*Z53</f>
        <v>2934.72</v>
      </c>
      <c r="AC53" s="4" t="n">
        <f aca="false">AB53*1.18</f>
        <v>3462.9696</v>
      </c>
    </row>
    <row r="54" customFormat="false" ht="15" hidden="false" customHeight="false" outlineLevel="0" collapsed="false">
      <c r="A54" s="0" t="s">
        <v>41</v>
      </c>
      <c r="B54" s="2" t="n">
        <v>46067</v>
      </c>
      <c r="C54" s="3" t="s">
        <v>355</v>
      </c>
      <c r="D54" s="3" t="s">
        <v>31</v>
      </c>
      <c r="E54" s="3" t="s">
        <v>32</v>
      </c>
      <c r="F54" s="3" t="s">
        <v>33</v>
      </c>
      <c r="G54" s="0" t="n">
        <v>119</v>
      </c>
      <c r="H54" s="0" t="n">
        <v>2059.71</v>
      </c>
      <c r="I54" s="0" t="n">
        <v>2060.16</v>
      </c>
      <c r="J54" s="2" t="n">
        <v>46066</v>
      </c>
      <c r="K54" s="3" t="s">
        <v>197</v>
      </c>
      <c r="L54" s="2" t="n">
        <v>46066</v>
      </c>
      <c r="M54" s="3" t="s">
        <v>356</v>
      </c>
      <c r="N54" s="2" t="n">
        <v>46066</v>
      </c>
      <c r="O54" s="3" t="s">
        <v>357</v>
      </c>
      <c r="P54" s="3" t="s">
        <v>358</v>
      </c>
      <c r="Q54" s="2" t="n">
        <v>46067</v>
      </c>
      <c r="R54" s="3" t="s">
        <v>359</v>
      </c>
      <c r="S54" s="3" t="s">
        <v>228</v>
      </c>
      <c r="T54" s="3" t="s">
        <v>40</v>
      </c>
      <c r="U54" s="3" t="s">
        <v>40</v>
      </c>
      <c r="V54" s="3" t="s">
        <v>40</v>
      </c>
      <c r="W54" s="0" t="n">
        <v>5.4584</v>
      </c>
      <c r="X54" s="0" t="n">
        <v>1.5</v>
      </c>
      <c r="Y54" s="0" t="n">
        <v>3.9584</v>
      </c>
      <c r="Z54" s="0" t="n">
        <v>4</v>
      </c>
      <c r="AA54" s="0" t="n">
        <v>3</v>
      </c>
      <c r="AB54" s="4" t="n">
        <f aca="false">I54*AA54*Z54</f>
        <v>24721.92</v>
      </c>
      <c r="AC54" s="4" t="n">
        <f aca="false">AB54*1.18</f>
        <v>29171.8656</v>
      </c>
    </row>
    <row r="55" customFormat="false" ht="15" hidden="false" customHeight="false" outlineLevel="0" collapsed="false">
      <c r="A55" s="0" t="s">
        <v>41</v>
      </c>
      <c r="B55" s="2" t="n">
        <v>46067</v>
      </c>
      <c r="C55" s="3" t="s">
        <v>360</v>
      </c>
      <c r="D55" s="3" t="s">
        <v>31</v>
      </c>
      <c r="E55" s="3" t="s">
        <v>32</v>
      </c>
      <c r="F55" s="3" t="s">
        <v>51</v>
      </c>
      <c r="G55" s="0" t="n">
        <v>140</v>
      </c>
      <c r="H55" s="0" t="n">
        <v>1960.46</v>
      </c>
      <c r="I55" s="0" t="n">
        <v>2940.89</v>
      </c>
      <c r="J55" s="2" t="n">
        <v>46066</v>
      </c>
      <c r="K55" s="3" t="s">
        <v>361</v>
      </c>
      <c r="L55" s="2" t="n">
        <v>46066</v>
      </c>
      <c r="M55" s="3" t="s">
        <v>203</v>
      </c>
      <c r="N55" s="2" t="n">
        <v>46067</v>
      </c>
      <c r="O55" s="3" t="s">
        <v>362</v>
      </c>
      <c r="P55" s="3" t="s">
        <v>363</v>
      </c>
      <c r="Q55" s="2" t="n">
        <v>46067</v>
      </c>
      <c r="R55" s="3" t="s">
        <v>364</v>
      </c>
      <c r="S55" s="3" t="s">
        <v>91</v>
      </c>
      <c r="T55" s="3" t="s">
        <v>40</v>
      </c>
      <c r="U55" s="3" t="s">
        <v>40</v>
      </c>
      <c r="V55" s="3" t="s">
        <v>40</v>
      </c>
      <c r="W55" s="0" t="n">
        <v>1.1436</v>
      </c>
      <c r="X55" s="0" t="n">
        <v>1.5</v>
      </c>
      <c r="Y55" s="0" t="n">
        <v>-0.3564</v>
      </c>
      <c r="Z55" s="0" t="n">
        <v>-1</v>
      </c>
      <c r="AA55" s="0" t="n">
        <v>3</v>
      </c>
      <c r="AB55" s="4" t="n">
        <f aca="false">I55*AA55*Z55</f>
        <v>-8822.67</v>
      </c>
      <c r="AC55" s="4" t="n">
        <f aca="false">AB55*1.18</f>
        <v>-10410.7506</v>
      </c>
    </row>
    <row r="56" customFormat="false" ht="15" hidden="false" customHeight="false" outlineLevel="0" collapsed="false">
      <c r="A56" s="0" t="s">
        <v>41</v>
      </c>
      <c r="B56" s="2" t="n">
        <v>46067</v>
      </c>
      <c r="C56" s="3" t="s">
        <v>365</v>
      </c>
      <c r="D56" s="3" t="s">
        <v>31</v>
      </c>
      <c r="E56" s="3" t="s">
        <v>32</v>
      </c>
      <c r="F56" s="3" t="s">
        <v>51</v>
      </c>
      <c r="G56" s="0" t="n">
        <v>181</v>
      </c>
      <c r="H56" s="0" t="n">
        <v>2744.19</v>
      </c>
      <c r="I56" s="0" t="n">
        <v>2744.38</v>
      </c>
      <c r="J56" s="2" t="n">
        <v>46066</v>
      </c>
      <c r="K56" s="3" t="s">
        <v>366</v>
      </c>
      <c r="L56" s="2" t="n">
        <v>46066</v>
      </c>
      <c r="M56" s="3" t="s">
        <v>367</v>
      </c>
      <c r="N56" s="2" t="n">
        <v>46067</v>
      </c>
      <c r="O56" s="3" t="s">
        <v>368</v>
      </c>
      <c r="P56" s="3" t="s">
        <v>369</v>
      </c>
      <c r="Q56" s="2" t="n">
        <v>46067</v>
      </c>
      <c r="R56" s="3" t="s">
        <v>370</v>
      </c>
      <c r="S56" s="3" t="s">
        <v>113</v>
      </c>
      <c r="T56" s="3" t="s">
        <v>40</v>
      </c>
      <c r="U56" s="3" t="s">
        <v>40</v>
      </c>
      <c r="V56" s="3" t="s">
        <v>40</v>
      </c>
      <c r="W56" s="0" t="n">
        <v>4.9606</v>
      </c>
      <c r="X56" s="0" t="n">
        <v>1.5</v>
      </c>
      <c r="Y56" s="0" t="n">
        <v>3.4606</v>
      </c>
      <c r="Z56" s="0" t="n">
        <v>3</v>
      </c>
      <c r="AA56" s="0" t="n">
        <v>3</v>
      </c>
      <c r="AB56" s="4" t="n">
        <f aca="false">I56*AA56*Z56</f>
        <v>24699.42</v>
      </c>
      <c r="AC56" s="4" t="n">
        <f aca="false">AB56*1.18</f>
        <v>29145.3156</v>
      </c>
    </row>
    <row r="57" customFormat="false" ht="15" hidden="false" customHeight="false" outlineLevel="0" collapsed="false">
      <c r="A57" s="0" t="s">
        <v>41</v>
      </c>
      <c r="B57" s="2" t="n">
        <v>46069</v>
      </c>
      <c r="C57" s="3" t="s">
        <v>371</v>
      </c>
      <c r="D57" s="3" t="s">
        <v>31</v>
      </c>
      <c r="E57" s="3" t="s">
        <v>32</v>
      </c>
      <c r="F57" s="3" t="s">
        <v>85</v>
      </c>
      <c r="G57" s="0" t="n">
        <v>171</v>
      </c>
      <c r="H57" s="0" t="n">
        <v>2570.18</v>
      </c>
      <c r="I57" s="0" t="n">
        <v>2570.3</v>
      </c>
      <c r="J57" s="2" t="n">
        <v>46066</v>
      </c>
      <c r="K57" s="3" t="s">
        <v>372</v>
      </c>
      <c r="L57" s="2" t="n">
        <v>46066</v>
      </c>
      <c r="M57" s="3" t="s">
        <v>373</v>
      </c>
      <c r="N57" s="2" t="n">
        <v>46067</v>
      </c>
      <c r="O57" s="3" t="s">
        <v>316</v>
      </c>
      <c r="P57" s="3" t="s">
        <v>374</v>
      </c>
      <c r="Q57" s="2" t="n">
        <v>46069</v>
      </c>
      <c r="R57" s="3" t="s">
        <v>375</v>
      </c>
      <c r="S57" s="3" t="s">
        <v>171</v>
      </c>
      <c r="T57" s="3" t="s">
        <v>40</v>
      </c>
      <c r="U57" s="3" t="s">
        <v>40</v>
      </c>
      <c r="V57" s="3" t="s">
        <v>40</v>
      </c>
      <c r="W57" s="0" t="n">
        <v>2.9843</v>
      </c>
      <c r="X57" s="0" t="n">
        <v>1.5</v>
      </c>
      <c r="Y57" s="0" t="n">
        <v>1.4843</v>
      </c>
      <c r="Z57" s="0" t="n">
        <v>1</v>
      </c>
      <c r="AA57" s="0" t="n">
        <v>3</v>
      </c>
      <c r="AB57" s="4" t="n">
        <f aca="false">I57*AA57*Z57</f>
        <v>7710.9</v>
      </c>
      <c r="AC57" s="4" t="n">
        <f aca="false">AB57*1.18</f>
        <v>9098.862</v>
      </c>
    </row>
    <row r="58" customFormat="false" ht="15" hidden="false" customHeight="false" outlineLevel="0" collapsed="false">
      <c r="A58" s="0" t="s">
        <v>41</v>
      </c>
      <c r="B58" s="2" t="n">
        <v>46069</v>
      </c>
      <c r="C58" s="3" t="s">
        <v>376</v>
      </c>
      <c r="D58" s="3" t="s">
        <v>31</v>
      </c>
      <c r="E58" s="3" t="s">
        <v>32</v>
      </c>
      <c r="F58" s="3" t="s">
        <v>85</v>
      </c>
      <c r="G58" s="0" t="n">
        <v>218</v>
      </c>
      <c r="H58" s="0" t="n">
        <v>174.91</v>
      </c>
      <c r="I58" s="0" t="n">
        <v>175.07</v>
      </c>
      <c r="J58" s="2" t="n">
        <v>46066</v>
      </c>
      <c r="K58" s="3" t="s">
        <v>377</v>
      </c>
      <c r="L58" s="2" t="n">
        <v>46067</v>
      </c>
      <c r="M58" s="3" t="s">
        <v>378</v>
      </c>
      <c r="N58" s="2" t="n">
        <v>46067</v>
      </c>
      <c r="O58" s="3" t="s">
        <v>379</v>
      </c>
      <c r="P58" s="3" t="s">
        <v>380</v>
      </c>
      <c r="Q58" s="2" t="n">
        <v>46069</v>
      </c>
      <c r="R58" s="3" t="s">
        <v>381</v>
      </c>
      <c r="S58" s="3" t="s">
        <v>91</v>
      </c>
      <c r="T58" s="3" t="s">
        <v>40</v>
      </c>
      <c r="U58" s="3" t="s">
        <v>40</v>
      </c>
      <c r="V58" s="3" t="s">
        <v>40</v>
      </c>
      <c r="W58" s="0" t="n">
        <v>1.8774</v>
      </c>
      <c r="X58" s="0" t="n">
        <v>1.5</v>
      </c>
      <c r="Y58" s="0" t="n">
        <v>0.3774</v>
      </c>
      <c r="Z58" s="0" t="n">
        <v>1</v>
      </c>
      <c r="AA58" s="0" t="n">
        <v>3</v>
      </c>
      <c r="AB58" s="4" t="n">
        <f aca="false">I58*AA58*Z58</f>
        <v>525.21</v>
      </c>
      <c r="AC58" s="4" t="n">
        <f aca="false">AB58*1.18</f>
        <v>619.7478</v>
      </c>
    </row>
    <row r="59" customFormat="false" ht="15" hidden="false" customHeight="false" outlineLevel="0" collapsed="false">
      <c r="A59" s="0" t="s">
        <v>41</v>
      </c>
      <c r="B59" s="2" t="n">
        <v>46069</v>
      </c>
      <c r="C59" s="3" t="s">
        <v>382</v>
      </c>
      <c r="D59" s="3" t="s">
        <v>31</v>
      </c>
      <c r="E59" s="3" t="s">
        <v>32</v>
      </c>
      <c r="F59" s="3" t="s">
        <v>85</v>
      </c>
      <c r="G59" s="0" t="n">
        <v>13</v>
      </c>
      <c r="H59" s="0" t="n">
        <v>1094.6</v>
      </c>
      <c r="I59" s="0" t="n">
        <v>1095.04</v>
      </c>
      <c r="J59" s="2" t="n">
        <v>46066</v>
      </c>
      <c r="K59" s="3" t="s">
        <v>134</v>
      </c>
      <c r="L59" s="2" t="n">
        <v>46067</v>
      </c>
      <c r="M59" s="3" t="s">
        <v>383</v>
      </c>
      <c r="N59" s="2" t="n">
        <v>46067</v>
      </c>
      <c r="O59" s="3" t="s">
        <v>384</v>
      </c>
      <c r="P59" s="3" t="s">
        <v>385</v>
      </c>
      <c r="Q59" s="2" t="n">
        <v>46069</v>
      </c>
      <c r="R59" s="3" t="s">
        <v>386</v>
      </c>
      <c r="S59" s="3" t="s">
        <v>228</v>
      </c>
      <c r="T59" s="3" t="s">
        <v>151</v>
      </c>
      <c r="U59" s="3" t="s">
        <v>151</v>
      </c>
      <c r="V59" s="3" t="s">
        <v>151</v>
      </c>
      <c r="W59" s="0" t="n">
        <v>0.3659</v>
      </c>
      <c r="X59" s="0" t="n">
        <v>1.5</v>
      </c>
      <c r="Y59" s="0" t="n">
        <v>-1.1341</v>
      </c>
      <c r="Z59" s="0" t="n">
        <v>-1</v>
      </c>
      <c r="AA59" s="0" t="n">
        <v>3</v>
      </c>
      <c r="AB59" s="4" t="n">
        <f aca="false">I59*AA59*Z59</f>
        <v>-3285.12</v>
      </c>
      <c r="AC59" s="4" t="n">
        <f aca="false">AB59*1.18</f>
        <v>-3876.4416</v>
      </c>
    </row>
    <row r="60" customFormat="false" ht="15" hidden="false" customHeight="false" outlineLevel="0" collapsed="false">
      <c r="A60" s="0" t="s">
        <v>29</v>
      </c>
      <c r="B60" s="2" t="n">
        <v>46070</v>
      </c>
      <c r="C60" s="3" t="s">
        <v>387</v>
      </c>
      <c r="D60" s="3" t="s">
        <v>31</v>
      </c>
      <c r="E60" s="3" t="s">
        <v>32</v>
      </c>
      <c r="F60" s="3" t="s">
        <v>85</v>
      </c>
      <c r="G60" s="0" t="n">
        <v>130</v>
      </c>
      <c r="H60" s="0" t="n">
        <v>2585.12</v>
      </c>
      <c r="I60" s="0" t="n">
        <v>3361.02</v>
      </c>
      <c r="J60" s="2" t="n">
        <v>46069</v>
      </c>
      <c r="K60" s="3" t="s">
        <v>140</v>
      </c>
      <c r="L60" s="2" t="n">
        <v>46069</v>
      </c>
      <c r="M60" s="3" t="s">
        <v>388</v>
      </c>
      <c r="N60" s="2" t="n">
        <v>46070</v>
      </c>
      <c r="O60" s="3" t="s">
        <v>389</v>
      </c>
      <c r="P60" s="3" t="s">
        <v>390</v>
      </c>
      <c r="Q60" s="2" t="n">
        <v>46070</v>
      </c>
      <c r="R60" s="3" t="s">
        <v>391</v>
      </c>
      <c r="S60" s="3" t="s">
        <v>171</v>
      </c>
      <c r="T60" s="3" t="s">
        <v>100</v>
      </c>
      <c r="U60" s="3" t="s">
        <v>100</v>
      </c>
      <c r="V60" s="3" t="s">
        <v>100</v>
      </c>
      <c r="W60" s="0" t="n">
        <v>0.2523</v>
      </c>
      <c r="X60" s="0" t="n">
        <v>1.5</v>
      </c>
      <c r="Y60" s="0" t="n">
        <v>-1.2477</v>
      </c>
      <c r="Z60" s="0" t="n">
        <v>-1</v>
      </c>
      <c r="AA60" s="0" t="n">
        <v>3</v>
      </c>
      <c r="AB60" s="4" t="n">
        <f aca="false">I60*AA60*Z60</f>
        <v>-10083.06</v>
      </c>
      <c r="AC60" s="4" t="n">
        <f aca="false">AB60*1.18</f>
        <v>-11898.0108</v>
      </c>
    </row>
    <row r="61" customFormat="false" ht="15" hidden="false" customHeight="false" outlineLevel="0" collapsed="false">
      <c r="A61" s="0" t="s">
        <v>29</v>
      </c>
      <c r="B61" s="2" t="n">
        <v>46072</v>
      </c>
      <c r="C61" s="3" t="s">
        <v>392</v>
      </c>
      <c r="D61" s="3" t="s">
        <v>50</v>
      </c>
      <c r="E61" s="3" t="s">
        <v>32</v>
      </c>
      <c r="F61" s="3" t="s">
        <v>51</v>
      </c>
      <c r="G61" s="0" t="n">
        <v>169</v>
      </c>
      <c r="H61" s="0" t="n">
        <v>722.19</v>
      </c>
      <c r="I61" s="0" t="n">
        <v>722.3</v>
      </c>
      <c r="J61" s="2" t="n">
        <v>46071</v>
      </c>
      <c r="K61" s="3" t="s">
        <v>393</v>
      </c>
      <c r="L61" s="2" t="n">
        <v>46071</v>
      </c>
      <c r="M61" s="3" t="s">
        <v>394</v>
      </c>
      <c r="N61" s="2" t="n">
        <v>46071</v>
      </c>
      <c r="O61" s="3" t="s">
        <v>395</v>
      </c>
      <c r="P61" s="3" t="s">
        <v>396</v>
      </c>
      <c r="Q61" s="2" t="n">
        <v>46072</v>
      </c>
      <c r="R61" s="3" t="s">
        <v>397</v>
      </c>
      <c r="S61" s="3" t="s">
        <v>57</v>
      </c>
      <c r="T61" s="3" t="s">
        <v>40</v>
      </c>
      <c r="U61" s="3" t="s">
        <v>40</v>
      </c>
      <c r="V61" s="3" t="s">
        <v>40</v>
      </c>
      <c r="W61" s="0" t="n">
        <v>4.2689</v>
      </c>
      <c r="X61" s="0" t="n">
        <v>1.5</v>
      </c>
      <c r="Y61" s="0" t="n">
        <v>2.7689</v>
      </c>
      <c r="Z61" s="0" t="n">
        <v>3</v>
      </c>
      <c r="AA61" s="0" t="n">
        <v>3</v>
      </c>
      <c r="AB61" s="4" t="n">
        <f aca="false">I61*AA61*Z61</f>
        <v>6500.7</v>
      </c>
      <c r="AC61" s="4" t="n">
        <f aca="false">AB61*1.18</f>
        <v>7670.826</v>
      </c>
    </row>
    <row r="62" customFormat="false" ht="15" hidden="false" customHeight="false" outlineLevel="0" collapsed="false">
      <c r="A62" s="0" t="s">
        <v>41</v>
      </c>
      <c r="B62" s="2" t="n">
        <v>46072</v>
      </c>
      <c r="C62" s="3" t="s">
        <v>398</v>
      </c>
      <c r="D62" s="3" t="s">
        <v>31</v>
      </c>
      <c r="E62" s="3" t="s">
        <v>32</v>
      </c>
      <c r="F62" s="3" t="s">
        <v>85</v>
      </c>
      <c r="G62" s="0" t="n">
        <v>188</v>
      </c>
      <c r="H62" s="0" t="n">
        <v>2786.24</v>
      </c>
      <c r="I62" s="0" t="n">
        <v>2786.46</v>
      </c>
      <c r="J62" s="2" t="n">
        <v>46070</v>
      </c>
      <c r="K62" s="3" t="s">
        <v>399</v>
      </c>
      <c r="L62" s="2" t="n">
        <v>46070</v>
      </c>
      <c r="M62" s="3" t="s">
        <v>400</v>
      </c>
      <c r="N62" s="2" t="n">
        <v>46070</v>
      </c>
      <c r="O62" s="3" t="s">
        <v>375</v>
      </c>
      <c r="P62" s="3" t="s">
        <v>401</v>
      </c>
      <c r="Q62" s="2" t="n">
        <v>46072</v>
      </c>
      <c r="R62" s="3" t="s">
        <v>402</v>
      </c>
      <c r="S62" s="3" t="s">
        <v>39</v>
      </c>
      <c r="T62" s="3" t="s">
        <v>100</v>
      </c>
      <c r="U62" s="3" t="s">
        <v>100</v>
      </c>
      <c r="V62" s="3" t="s">
        <v>100</v>
      </c>
      <c r="W62" s="0" t="n">
        <v>3.5183</v>
      </c>
      <c r="X62" s="0" t="n">
        <v>1.5</v>
      </c>
      <c r="Y62" s="0" t="n">
        <v>2.0183</v>
      </c>
      <c r="Z62" s="0" t="n">
        <v>2</v>
      </c>
      <c r="AA62" s="0" t="n">
        <v>3</v>
      </c>
      <c r="AB62" s="4" t="n">
        <f aca="false">I62*AA62*Z62</f>
        <v>16718.76</v>
      </c>
      <c r="AC62" s="4" t="n">
        <f aca="false">AB62*1.18</f>
        <v>19728.1368</v>
      </c>
    </row>
    <row r="63" customFormat="false" ht="15" hidden="false" customHeight="false" outlineLevel="0" collapsed="false">
      <c r="A63" s="0" t="s">
        <v>41</v>
      </c>
      <c r="B63" s="2" t="n">
        <v>46072</v>
      </c>
      <c r="C63" s="3" t="s">
        <v>403</v>
      </c>
      <c r="D63" s="3" t="s">
        <v>31</v>
      </c>
      <c r="E63" s="3" t="s">
        <v>32</v>
      </c>
      <c r="F63" s="3" t="s">
        <v>51</v>
      </c>
      <c r="G63" s="0" t="n">
        <v>209</v>
      </c>
      <c r="H63" s="0" t="n">
        <v>540.56</v>
      </c>
      <c r="I63" s="0" t="n">
        <v>702.91</v>
      </c>
      <c r="J63" s="2" t="n">
        <v>46070</v>
      </c>
      <c r="K63" s="3" t="s">
        <v>404</v>
      </c>
      <c r="L63" s="2" t="n">
        <v>46071</v>
      </c>
      <c r="M63" s="3" t="s">
        <v>405</v>
      </c>
      <c r="N63" s="2" t="n">
        <v>46070</v>
      </c>
      <c r="O63" s="3" t="s">
        <v>406</v>
      </c>
      <c r="P63" s="3" t="s">
        <v>407</v>
      </c>
      <c r="Q63" s="2" t="n">
        <v>46072</v>
      </c>
      <c r="R63" s="3" t="s">
        <v>408</v>
      </c>
      <c r="S63" s="3" t="s">
        <v>409</v>
      </c>
      <c r="T63" s="3" t="s">
        <v>40</v>
      </c>
      <c r="U63" s="3" t="s">
        <v>40</v>
      </c>
      <c r="V63" s="3" t="s">
        <v>40</v>
      </c>
      <c r="W63" s="0" t="n">
        <v>4.5966</v>
      </c>
      <c r="X63" s="0" t="n">
        <v>1.5</v>
      </c>
      <c r="Y63" s="0" t="n">
        <v>3.0966</v>
      </c>
      <c r="Z63" s="0" t="n">
        <v>3</v>
      </c>
      <c r="AA63" s="0" t="n">
        <v>3</v>
      </c>
      <c r="AB63" s="4" t="n">
        <f aca="false">I63*AA63*Z63</f>
        <v>6326.19</v>
      </c>
      <c r="AC63" s="4" t="n">
        <f aca="false">AB63*1.18</f>
        <v>7464.9042</v>
      </c>
    </row>
    <row r="64" customFormat="false" ht="15" hidden="false" customHeight="false" outlineLevel="0" collapsed="false">
      <c r="A64" s="0" t="s">
        <v>41</v>
      </c>
      <c r="B64" s="2" t="n">
        <v>46072</v>
      </c>
      <c r="C64" s="3" t="s">
        <v>410</v>
      </c>
      <c r="D64" s="3" t="s">
        <v>31</v>
      </c>
      <c r="E64" s="3" t="s">
        <v>32</v>
      </c>
      <c r="F64" s="3" t="s">
        <v>51</v>
      </c>
      <c r="G64" s="0" t="n">
        <v>55</v>
      </c>
      <c r="H64" s="0" t="n">
        <v>1676.39</v>
      </c>
      <c r="I64" s="0" t="n">
        <v>1676.47</v>
      </c>
      <c r="J64" s="2" t="n">
        <v>46069</v>
      </c>
      <c r="K64" s="3" t="s">
        <v>214</v>
      </c>
      <c r="L64" s="2" t="n">
        <v>46069</v>
      </c>
      <c r="M64" s="3" t="s">
        <v>411</v>
      </c>
      <c r="N64" s="2" t="n">
        <v>46069</v>
      </c>
      <c r="O64" s="3" t="s">
        <v>412</v>
      </c>
      <c r="P64" s="3" t="s">
        <v>413</v>
      </c>
      <c r="Q64" s="2" t="n">
        <v>46072</v>
      </c>
      <c r="R64" s="3" t="s">
        <v>414</v>
      </c>
      <c r="S64" s="3" t="s">
        <v>256</v>
      </c>
      <c r="T64" s="3" t="s">
        <v>40</v>
      </c>
      <c r="U64" s="3" t="s">
        <v>40</v>
      </c>
      <c r="V64" s="3" t="s">
        <v>40</v>
      </c>
      <c r="W64" s="0" t="n">
        <v>0.6571</v>
      </c>
      <c r="X64" s="0" t="n">
        <v>1.5</v>
      </c>
      <c r="Y64" s="0" t="n">
        <v>-0.8429</v>
      </c>
      <c r="Z64" s="0" t="n">
        <v>-1</v>
      </c>
      <c r="AA64" s="0" t="n">
        <v>3</v>
      </c>
      <c r="AB64" s="4" t="n">
        <f aca="false">I64*AA64*Z64</f>
        <v>-5029.41</v>
      </c>
      <c r="AC64" s="4" t="n">
        <f aca="false">AB64*1.18</f>
        <v>-5934.7038</v>
      </c>
    </row>
    <row r="65" customFormat="false" ht="15" hidden="false" customHeight="false" outlineLevel="0" collapsed="false">
      <c r="A65" s="0" t="s">
        <v>41</v>
      </c>
      <c r="B65" s="2" t="n">
        <v>46072</v>
      </c>
      <c r="C65" s="3" t="s">
        <v>415</v>
      </c>
      <c r="D65" s="3" t="s">
        <v>31</v>
      </c>
      <c r="E65" s="3" t="s">
        <v>32</v>
      </c>
      <c r="F65" s="3" t="s">
        <v>51</v>
      </c>
      <c r="G65" s="0" t="n">
        <v>33</v>
      </c>
      <c r="H65" s="0" t="n">
        <v>187.15</v>
      </c>
      <c r="I65" s="0" t="n">
        <v>187.24</v>
      </c>
      <c r="J65" s="2" t="n">
        <v>46071</v>
      </c>
      <c r="K65" s="3" t="s">
        <v>416</v>
      </c>
      <c r="L65" s="2" t="n">
        <v>46072</v>
      </c>
      <c r="M65" s="3" t="s">
        <v>417</v>
      </c>
      <c r="N65" s="2" t="n">
        <v>46071</v>
      </c>
      <c r="O65" s="3" t="s">
        <v>418</v>
      </c>
      <c r="P65" s="3" t="s">
        <v>419</v>
      </c>
      <c r="Q65" s="2" t="n">
        <v>46072</v>
      </c>
      <c r="R65" s="3" t="s">
        <v>420</v>
      </c>
      <c r="S65" s="3" t="s">
        <v>228</v>
      </c>
      <c r="T65" s="3" t="s">
        <v>40</v>
      </c>
      <c r="U65" s="3" t="s">
        <v>40</v>
      </c>
      <c r="V65" s="3" t="s">
        <v>40</v>
      </c>
      <c r="W65" s="0" t="n">
        <v>0.7694</v>
      </c>
      <c r="X65" s="0" t="n">
        <v>1.5</v>
      </c>
      <c r="Y65" s="0" t="n">
        <v>-0.7306</v>
      </c>
      <c r="Z65" s="0" t="n">
        <v>-1</v>
      </c>
      <c r="AA65" s="0" t="n">
        <v>3</v>
      </c>
      <c r="AB65" s="4" t="n">
        <f aca="false">I65*AA65*Z65</f>
        <v>-561.72</v>
      </c>
      <c r="AC65" s="4" t="n">
        <f aca="false">AB65*1.18</f>
        <v>-662.8296</v>
      </c>
    </row>
    <row r="66" customFormat="false" ht="15" hidden="false" customHeight="false" outlineLevel="0" collapsed="false">
      <c r="A66" s="0" t="s">
        <v>41</v>
      </c>
      <c r="B66" s="2" t="n">
        <v>46072</v>
      </c>
      <c r="C66" s="3" t="s">
        <v>421</v>
      </c>
      <c r="D66" s="3" t="s">
        <v>50</v>
      </c>
      <c r="E66" s="3" t="s">
        <v>32</v>
      </c>
      <c r="F66" s="3" t="s">
        <v>85</v>
      </c>
      <c r="G66" s="0" t="n">
        <v>29</v>
      </c>
      <c r="H66" s="0" t="n">
        <v>1496.57</v>
      </c>
      <c r="I66" s="0" t="n">
        <v>1496.98</v>
      </c>
      <c r="J66" s="2" t="n">
        <v>46070</v>
      </c>
      <c r="K66" s="3" t="s">
        <v>422</v>
      </c>
      <c r="L66" s="2" t="n">
        <v>46070</v>
      </c>
      <c r="M66" s="3" t="s">
        <v>423</v>
      </c>
      <c r="N66" s="2" t="n">
        <v>46070</v>
      </c>
      <c r="O66" s="3" t="s">
        <v>424</v>
      </c>
      <c r="P66" s="3" t="s">
        <v>425</v>
      </c>
      <c r="Q66" s="2" t="n">
        <v>46072</v>
      </c>
      <c r="R66" s="3" t="s">
        <v>426</v>
      </c>
      <c r="S66" s="3" t="s">
        <v>184</v>
      </c>
      <c r="T66" s="3" t="s">
        <v>40</v>
      </c>
      <c r="U66" s="3" t="s">
        <v>40</v>
      </c>
      <c r="V66" s="3" t="s">
        <v>40</v>
      </c>
      <c r="W66" s="0" t="n">
        <v>3.5773</v>
      </c>
      <c r="X66" s="0" t="n">
        <v>1.5</v>
      </c>
      <c r="Y66" s="0" t="n">
        <v>2.0773</v>
      </c>
      <c r="Z66" s="0" t="n">
        <v>2</v>
      </c>
      <c r="AA66" s="0" t="n">
        <v>3</v>
      </c>
      <c r="AB66" s="4" t="n">
        <f aca="false">I66*AA66*Z66</f>
        <v>8981.88</v>
      </c>
      <c r="AC66" s="4" t="n">
        <f aca="false">AB66*1.18</f>
        <v>10598.6184</v>
      </c>
    </row>
    <row r="67" customFormat="false" ht="15" hidden="false" customHeight="false" outlineLevel="0" collapsed="false">
      <c r="A67" s="0" t="s">
        <v>29</v>
      </c>
      <c r="B67" s="2" t="n">
        <v>46073</v>
      </c>
      <c r="C67" s="3" t="s">
        <v>427</v>
      </c>
      <c r="D67" s="3" t="s">
        <v>50</v>
      </c>
      <c r="E67" s="3" t="s">
        <v>32</v>
      </c>
      <c r="F67" s="3" t="s">
        <v>51</v>
      </c>
      <c r="G67" s="0" t="n">
        <v>76</v>
      </c>
      <c r="H67" s="0" t="n">
        <v>2980.28</v>
      </c>
      <c r="I67" s="0" t="n">
        <v>3278.69</v>
      </c>
      <c r="J67" s="2" t="n">
        <v>46070</v>
      </c>
      <c r="K67" s="3" t="s">
        <v>428</v>
      </c>
      <c r="L67" s="2" t="n">
        <v>46071</v>
      </c>
      <c r="M67" s="3" t="s">
        <v>429</v>
      </c>
      <c r="N67" s="2" t="n">
        <v>46070</v>
      </c>
      <c r="O67" s="3" t="s">
        <v>430</v>
      </c>
      <c r="P67" s="3" t="s">
        <v>431</v>
      </c>
      <c r="Q67" s="2" t="n">
        <v>46073</v>
      </c>
      <c r="R67" s="3" t="s">
        <v>432</v>
      </c>
      <c r="S67" s="3" t="s">
        <v>39</v>
      </c>
      <c r="T67" s="3" t="s">
        <v>40</v>
      </c>
      <c r="U67" s="3" t="s">
        <v>40</v>
      </c>
      <c r="V67" s="3" t="s">
        <v>40</v>
      </c>
      <c r="W67" s="0" t="n">
        <v>3.411</v>
      </c>
      <c r="X67" s="0" t="n">
        <v>1.5</v>
      </c>
      <c r="Y67" s="0" t="n">
        <v>1.911</v>
      </c>
      <c r="Z67" s="0" t="n">
        <v>2</v>
      </c>
      <c r="AA67" s="0" t="n">
        <v>3</v>
      </c>
      <c r="AB67" s="4" t="n">
        <f aca="false">I67*AA67*Z67</f>
        <v>19672.14</v>
      </c>
      <c r="AC67" s="4" t="n">
        <f aca="false">AB67*1.18</f>
        <v>23213.1252</v>
      </c>
    </row>
    <row r="68" customFormat="false" ht="15" hidden="false" customHeight="false" outlineLevel="0" collapsed="false">
      <c r="A68" s="0" t="s">
        <v>29</v>
      </c>
      <c r="B68" s="2" t="n">
        <v>46073</v>
      </c>
      <c r="C68" s="3" t="s">
        <v>433</v>
      </c>
      <c r="D68" s="3" t="s">
        <v>31</v>
      </c>
      <c r="E68" s="3" t="s">
        <v>32</v>
      </c>
      <c r="F68" s="3" t="s">
        <v>33</v>
      </c>
      <c r="G68" s="0" t="n">
        <v>162</v>
      </c>
      <c r="H68" s="0" t="n">
        <v>2379.28</v>
      </c>
      <c r="I68" s="0" t="n">
        <v>2379.37</v>
      </c>
      <c r="J68" s="2" t="n">
        <v>46072</v>
      </c>
      <c r="K68" s="3" t="s">
        <v>434</v>
      </c>
      <c r="L68" s="2" t="n">
        <v>46072</v>
      </c>
      <c r="M68" s="3" t="s">
        <v>435</v>
      </c>
      <c r="N68" s="2" t="n">
        <v>46072</v>
      </c>
      <c r="O68" s="3" t="s">
        <v>436</v>
      </c>
      <c r="P68" s="3" t="s">
        <v>437</v>
      </c>
      <c r="Q68" s="2" t="n">
        <v>46073</v>
      </c>
      <c r="R68" s="3" t="s">
        <v>214</v>
      </c>
      <c r="S68" s="3" t="s">
        <v>164</v>
      </c>
      <c r="T68" s="3" t="s">
        <v>40</v>
      </c>
      <c r="U68" s="3" t="s">
        <v>40</v>
      </c>
      <c r="V68" s="3" t="s">
        <v>40</v>
      </c>
      <c r="W68" s="0" t="n">
        <v>4.2797</v>
      </c>
      <c r="X68" s="0" t="n">
        <v>1.5</v>
      </c>
      <c r="Y68" s="0" t="n">
        <v>2.7797</v>
      </c>
      <c r="Z68" s="0" t="n">
        <v>3</v>
      </c>
      <c r="AA68" s="0" t="n">
        <v>3</v>
      </c>
      <c r="AB68" s="4" t="n">
        <f aca="false">I68*AA68*Z68</f>
        <v>21414.33</v>
      </c>
      <c r="AC68" s="4" t="n">
        <f aca="false">AB68*1.18</f>
        <v>25268.9094</v>
      </c>
    </row>
    <row r="69" customFormat="false" ht="15" hidden="false" customHeight="false" outlineLevel="0" collapsed="false">
      <c r="A69" s="0" t="s">
        <v>29</v>
      </c>
      <c r="B69" s="2" t="n">
        <v>46074</v>
      </c>
      <c r="C69" s="3" t="s">
        <v>438</v>
      </c>
      <c r="D69" s="3" t="s">
        <v>31</v>
      </c>
      <c r="E69" s="3" t="s">
        <v>32</v>
      </c>
      <c r="F69" s="3" t="s">
        <v>51</v>
      </c>
      <c r="G69" s="0" t="n">
        <v>176</v>
      </c>
      <c r="H69" s="0" t="n">
        <v>2922.27</v>
      </c>
      <c r="I69" s="0" t="n">
        <v>2922.54</v>
      </c>
      <c r="J69" s="2" t="n">
        <v>46071</v>
      </c>
      <c r="K69" s="3" t="s">
        <v>439</v>
      </c>
      <c r="L69" s="2" t="n">
        <v>46072</v>
      </c>
      <c r="M69" s="3" t="s">
        <v>440</v>
      </c>
      <c r="N69" s="2" t="n">
        <v>46071</v>
      </c>
      <c r="O69" s="3" t="s">
        <v>441</v>
      </c>
      <c r="P69" s="3" t="s">
        <v>442</v>
      </c>
      <c r="Q69" s="2" t="n">
        <v>46074</v>
      </c>
      <c r="R69" s="3" t="s">
        <v>443</v>
      </c>
      <c r="S69" s="3" t="s">
        <v>39</v>
      </c>
      <c r="T69" s="3" t="s">
        <v>151</v>
      </c>
      <c r="U69" s="3" t="s">
        <v>151</v>
      </c>
      <c r="V69" s="3" t="s">
        <v>151</v>
      </c>
      <c r="W69" s="0" t="n">
        <v>1.2371</v>
      </c>
      <c r="X69" s="0" t="n">
        <v>1.5</v>
      </c>
      <c r="Y69" s="0" t="n">
        <v>-0.2629</v>
      </c>
      <c r="Z69" s="0" t="n">
        <v>-1</v>
      </c>
      <c r="AA69" s="0" t="n">
        <v>3</v>
      </c>
      <c r="AB69" s="4" t="n">
        <f aca="false">I69*AA69*Z69</f>
        <v>-8767.62</v>
      </c>
      <c r="AC69" s="4" t="n">
        <f aca="false">AB69*1.18</f>
        <v>-10345.7916</v>
      </c>
    </row>
    <row r="70" customFormat="false" ht="15" hidden="false" customHeight="false" outlineLevel="0" collapsed="false">
      <c r="A70" s="0" t="s">
        <v>29</v>
      </c>
      <c r="B70" s="2" t="n">
        <v>46074</v>
      </c>
      <c r="C70" s="3" t="s">
        <v>444</v>
      </c>
      <c r="D70" s="3" t="s">
        <v>50</v>
      </c>
      <c r="E70" s="3" t="s">
        <v>32</v>
      </c>
      <c r="F70" s="3" t="s">
        <v>85</v>
      </c>
      <c r="G70" s="0" t="n">
        <v>182</v>
      </c>
      <c r="H70" s="0" t="n">
        <v>1653.79</v>
      </c>
      <c r="I70" s="0" t="n">
        <v>1654</v>
      </c>
      <c r="J70" s="2" t="n">
        <v>46071</v>
      </c>
      <c r="K70" s="3" t="s">
        <v>445</v>
      </c>
      <c r="L70" s="2" t="n">
        <v>46071</v>
      </c>
      <c r="M70" s="3" t="s">
        <v>446</v>
      </c>
      <c r="N70" s="2" t="n">
        <v>46072</v>
      </c>
      <c r="O70" s="3" t="s">
        <v>445</v>
      </c>
      <c r="P70" s="3" t="s">
        <v>447</v>
      </c>
      <c r="Q70" s="2" t="n">
        <v>46074</v>
      </c>
      <c r="R70" s="3" t="s">
        <v>448</v>
      </c>
      <c r="S70" s="3" t="s">
        <v>143</v>
      </c>
      <c r="T70" s="3" t="s">
        <v>449</v>
      </c>
      <c r="U70" s="3" t="s">
        <v>449</v>
      </c>
      <c r="V70" s="3" t="s">
        <v>449</v>
      </c>
      <c r="W70" s="0" t="n">
        <v>0.339</v>
      </c>
      <c r="X70" s="0" t="n">
        <v>1.5</v>
      </c>
      <c r="Y70" s="0" t="n">
        <v>-1.161</v>
      </c>
      <c r="Z70" s="0" t="n">
        <v>-1</v>
      </c>
      <c r="AA70" s="0" t="n">
        <v>5</v>
      </c>
      <c r="AB70" s="4" t="n">
        <f aca="false">I70*AA70*Z70</f>
        <v>-8270</v>
      </c>
      <c r="AC70" s="4" t="n">
        <f aca="false">AB70*1.18</f>
        <v>-9758.6</v>
      </c>
    </row>
    <row r="71" customFormat="false" ht="15" hidden="false" customHeight="false" outlineLevel="0" collapsed="false">
      <c r="A71" s="0" t="s">
        <v>29</v>
      </c>
      <c r="B71" s="2" t="n">
        <v>46074</v>
      </c>
      <c r="C71" s="3" t="s">
        <v>450</v>
      </c>
      <c r="D71" s="3" t="s">
        <v>31</v>
      </c>
      <c r="E71" s="3" t="s">
        <v>32</v>
      </c>
      <c r="F71" s="3" t="s">
        <v>85</v>
      </c>
      <c r="G71" s="0" t="n">
        <v>212</v>
      </c>
      <c r="H71" s="0" t="n">
        <v>1802.87</v>
      </c>
      <c r="I71" s="0" t="n">
        <v>1803.28</v>
      </c>
      <c r="J71" s="2" t="n">
        <v>46072</v>
      </c>
      <c r="K71" s="3" t="s">
        <v>451</v>
      </c>
      <c r="L71" s="2" t="n">
        <v>46072</v>
      </c>
      <c r="M71" s="3" t="s">
        <v>47</v>
      </c>
      <c r="N71" s="2" t="n">
        <v>46072</v>
      </c>
      <c r="O71" s="3" t="s">
        <v>452</v>
      </c>
      <c r="P71" s="3" t="s">
        <v>453</v>
      </c>
      <c r="Q71" s="2" t="n">
        <v>46074</v>
      </c>
      <c r="R71" s="3" t="s">
        <v>454</v>
      </c>
      <c r="S71" s="3" t="s">
        <v>113</v>
      </c>
      <c r="T71" s="3" t="s">
        <v>40</v>
      </c>
      <c r="U71" s="3" t="s">
        <v>40</v>
      </c>
      <c r="V71" s="3" t="s">
        <v>40</v>
      </c>
      <c r="W71" s="0" t="n">
        <v>3.0099</v>
      </c>
      <c r="X71" s="0" t="n">
        <v>1.5</v>
      </c>
      <c r="Y71" s="0" t="n">
        <v>1.5099</v>
      </c>
      <c r="Z71" s="0" t="n">
        <v>2</v>
      </c>
      <c r="AA71" s="0" t="n">
        <v>3</v>
      </c>
      <c r="AB71" s="4" t="n">
        <f aca="false">I71*AA71*Z71</f>
        <v>10819.68</v>
      </c>
      <c r="AC71" s="4" t="n">
        <f aca="false">AB71*1.18</f>
        <v>12767.2224</v>
      </c>
    </row>
    <row r="72" customFormat="false" ht="15" hidden="false" customHeight="false" outlineLevel="0" collapsed="false">
      <c r="A72" s="0" t="s">
        <v>29</v>
      </c>
      <c r="B72" s="2" t="n">
        <v>46074</v>
      </c>
      <c r="C72" s="3" t="s">
        <v>455</v>
      </c>
      <c r="D72" s="3" t="s">
        <v>31</v>
      </c>
      <c r="E72" s="3" t="s">
        <v>32</v>
      </c>
      <c r="F72" s="3" t="s">
        <v>33</v>
      </c>
      <c r="G72" s="0" t="n">
        <v>158</v>
      </c>
      <c r="H72" s="0" t="n">
        <v>1214.76</v>
      </c>
      <c r="I72" s="0" t="n">
        <v>1822.3</v>
      </c>
      <c r="J72" s="2" t="n">
        <v>46071</v>
      </c>
      <c r="K72" s="3" t="s">
        <v>456</v>
      </c>
      <c r="L72" s="2" t="n">
        <v>46071</v>
      </c>
      <c r="M72" s="3" t="s">
        <v>457</v>
      </c>
      <c r="N72" s="2" t="n">
        <v>46072</v>
      </c>
      <c r="O72" s="3" t="s">
        <v>106</v>
      </c>
      <c r="P72" s="3" t="s">
        <v>458</v>
      </c>
      <c r="Q72" s="2" t="n">
        <v>46074</v>
      </c>
      <c r="R72" s="3" t="s">
        <v>459</v>
      </c>
      <c r="S72" s="3" t="s">
        <v>48</v>
      </c>
      <c r="T72" s="3" t="s">
        <v>151</v>
      </c>
      <c r="U72" s="3" t="s">
        <v>151</v>
      </c>
      <c r="V72" s="3" t="s">
        <v>151</v>
      </c>
      <c r="W72" s="0" t="n">
        <v>4.6481</v>
      </c>
      <c r="X72" s="0" t="n">
        <v>1.5</v>
      </c>
      <c r="Y72" s="0" t="n">
        <v>3.1481</v>
      </c>
      <c r="Z72" s="0" t="n">
        <v>3</v>
      </c>
      <c r="AA72" s="0" t="n">
        <v>3</v>
      </c>
      <c r="AB72" s="4" t="n">
        <f aca="false">I72*AA72*Z72</f>
        <v>16400.7</v>
      </c>
      <c r="AC72" s="4" t="n">
        <f aca="false">AB72*1.18</f>
        <v>19352.826</v>
      </c>
    </row>
    <row r="73" customFormat="false" ht="15" hidden="false" customHeight="false" outlineLevel="0" collapsed="false">
      <c r="A73" s="0" t="s">
        <v>29</v>
      </c>
      <c r="B73" s="2" t="n">
        <v>46074</v>
      </c>
      <c r="C73" s="3" t="s">
        <v>460</v>
      </c>
      <c r="D73" s="3" t="s">
        <v>31</v>
      </c>
      <c r="E73" s="3" t="s">
        <v>32</v>
      </c>
      <c r="F73" s="3" t="s">
        <v>33</v>
      </c>
      <c r="G73" s="0" t="n">
        <v>176</v>
      </c>
      <c r="H73" s="0" t="n">
        <v>2448.42</v>
      </c>
      <c r="I73" s="0" t="n">
        <v>3183.16</v>
      </c>
      <c r="J73" s="2" t="n">
        <v>46071</v>
      </c>
      <c r="K73" s="3" t="s">
        <v>461</v>
      </c>
      <c r="L73" s="2" t="n">
        <v>46071</v>
      </c>
      <c r="M73" s="3" t="s">
        <v>462</v>
      </c>
      <c r="N73" s="2" t="n">
        <v>46072</v>
      </c>
      <c r="O73" s="3" t="s">
        <v>463</v>
      </c>
      <c r="P73" s="3" t="s">
        <v>464</v>
      </c>
      <c r="Q73" s="2" t="n">
        <v>46074</v>
      </c>
      <c r="R73" s="3" t="s">
        <v>465</v>
      </c>
      <c r="S73" s="3" t="s">
        <v>228</v>
      </c>
      <c r="T73" s="3" t="s">
        <v>40</v>
      </c>
      <c r="U73" s="3" t="s">
        <v>40</v>
      </c>
      <c r="V73" s="3" t="s">
        <v>40</v>
      </c>
      <c r="W73" s="0" t="n">
        <v>3.0797</v>
      </c>
      <c r="X73" s="0" t="n">
        <v>1.5</v>
      </c>
      <c r="Y73" s="0" t="n">
        <v>1.5797</v>
      </c>
      <c r="Z73" s="0" t="n">
        <v>2</v>
      </c>
      <c r="AA73" s="0" t="n">
        <v>3</v>
      </c>
      <c r="AB73" s="4" t="n">
        <f aca="false">I73*AA73*Z73</f>
        <v>19098.96</v>
      </c>
      <c r="AC73" s="4" t="n">
        <f aca="false">AB73*1.18</f>
        <v>22536.7728</v>
      </c>
    </row>
    <row r="74" customFormat="false" ht="15" hidden="false" customHeight="false" outlineLevel="0" collapsed="false">
      <c r="A74" s="0" t="s">
        <v>29</v>
      </c>
      <c r="B74" s="2" t="n">
        <v>46074</v>
      </c>
      <c r="C74" s="3" t="s">
        <v>466</v>
      </c>
      <c r="D74" s="3" t="s">
        <v>31</v>
      </c>
      <c r="E74" s="3" t="s">
        <v>32</v>
      </c>
      <c r="F74" s="3" t="s">
        <v>85</v>
      </c>
      <c r="G74" s="0" t="n">
        <v>190</v>
      </c>
      <c r="H74" s="0" t="n">
        <v>1299.45</v>
      </c>
      <c r="I74" s="0" t="n">
        <v>1689.69</v>
      </c>
      <c r="J74" s="2" t="n">
        <v>46072</v>
      </c>
      <c r="K74" s="3" t="s">
        <v>467</v>
      </c>
      <c r="L74" s="2" t="n">
        <v>46072</v>
      </c>
      <c r="M74" s="3" t="s">
        <v>468</v>
      </c>
      <c r="N74" s="2" t="n">
        <v>46072</v>
      </c>
      <c r="O74" s="3" t="s">
        <v>82</v>
      </c>
      <c r="P74" s="3" t="s">
        <v>469</v>
      </c>
      <c r="Q74" s="2" t="n">
        <v>46074</v>
      </c>
      <c r="R74" s="3" t="s">
        <v>470</v>
      </c>
      <c r="S74" s="3" t="s">
        <v>57</v>
      </c>
      <c r="T74" s="3" t="s">
        <v>40</v>
      </c>
      <c r="U74" s="3" t="s">
        <v>40</v>
      </c>
      <c r="V74" s="3" t="s">
        <v>40</v>
      </c>
      <c r="W74" s="0" t="n">
        <v>4.5608</v>
      </c>
      <c r="X74" s="0" t="n">
        <v>1.5</v>
      </c>
      <c r="Y74" s="0" t="n">
        <v>3.0608</v>
      </c>
      <c r="Z74" s="0" t="n">
        <v>3</v>
      </c>
      <c r="AA74" s="0" t="n">
        <v>3</v>
      </c>
      <c r="AB74" s="4" t="n">
        <f aca="false">I74*AA74*Z74</f>
        <v>15207.21</v>
      </c>
      <c r="AC74" s="4" t="n">
        <f aca="false">AB74*1.18</f>
        <v>17944.5078</v>
      </c>
    </row>
    <row r="75" customFormat="false" ht="15" hidden="false" customHeight="false" outlineLevel="0" collapsed="false">
      <c r="A75" s="0" t="s">
        <v>29</v>
      </c>
      <c r="B75" s="2" t="n">
        <v>46075</v>
      </c>
      <c r="C75" s="3" t="s">
        <v>471</v>
      </c>
      <c r="D75" s="3" t="s">
        <v>31</v>
      </c>
      <c r="E75" s="3" t="s">
        <v>32</v>
      </c>
      <c r="F75" s="3" t="s">
        <v>51</v>
      </c>
      <c r="G75" s="0" t="n">
        <v>129</v>
      </c>
      <c r="H75" s="0" t="n">
        <v>1763.77</v>
      </c>
      <c r="I75" s="0" t="n">
        <v>2645.67</v>
      </c>
      <c r="J75" s="2" t="n">
        <v>46073</v>
      </c>
      <c r="K75" s="3" t="s">
        <v>472</v>
      </c>
      <c r="L75" s="2" t="n">
        <v>46073</v>
      </c>
      <c r="M75" s="3" t="s">
        <v>473</v>
      </c>
      <c r="N75" s="2" t="n">
        <v>46073</v>
      </c>
      <c r="O75" s="3" t="s">
        <v>474</v>
      </c>
      <c r="P75" s="3" t="s">
        <v>475</v>
      </c>
      <c r="Q75" s="2" t="n">
        <v>46075</v>
      </c>
      <c r="R75" s="3" t="s">
        <v>335</v>
      </c>
      <c r="S75" s="3" t="s">
        <v>48</v>
      </c>
      <c r="T75" s="3" t="s">
        <v>40</v>
      </c>
      <c r="U75" s="3" t="s">
        <v>40</v>
      </c>
      <c r="V75" s="3" t="s">
        <v>40</v>
      </c>
      <c r="W75" s="0" t="n">
        <v>1.3923</v>
      </c>
      <c r="X75" s="0" t="n">
        <v>1.5</v>
      </c>
      <c r="Y75" s="0" t="n">
        <v>-0.1077</v>
      </c>
      <c r="Z75" s="0" t="n">
        <v>-1</v>
      </c>
      <c r="AA75" s="0" t="n">
        <v>3</v>
      </c>
      <c r="AB75" s="4" t="n">
        <f aca="false">I75*AA75*Z75</f>
        <v>-7937.01</v>
      </c>
      <c r="AC75" s="4" t="n">
        <f aca="false">AB75*1.18</f>
        <v>-9365.6718</v>
      </c>
    </row>
    <row r="76" customFormat="false" ht="15" hidden="false" customHeight="false" outlineLevel="0" collapsed="false">
      <c r="A76" s="0" t="s">
        <v>41</v>
      </c>
      <c r="B76" s="2" t="n">
        <v>46075</v>
      </c>
      <c r="C76" s="3" t="s">
        <v>476</v>
      </c>
      <c r="D76" s="3" t="s">
        <v>50</v>
      </c>
      <c r="E76" s="3" t="s">
        <v>32</v>
      </c>
      <c r="F76" s="3" t="s">
        <v>51</v>
      </c>
      <c r="G76" s="0" t="n">
        <v>97</v>
      </c>
      <c r="H76" s="0" t="n">
        <v>2253.95</v>
      </c>
      <c r="I76" s="0" t="n">
        <v>2930.26</v>
      </c>
      <c r="J76" s="2" t="n">
        <v>46073</v>
      </c>
      <c r="K76" s="3" t="s">
        <v>477</v>
      </c>
      <c r="L76" s="2" t="n">
        <v>46073</v>
      </c>
      <c r="M76" s="3" t="s">
        <v>478</v>
      </c>
      <c r="N76" s="2" t="n">
        <v>46074</v>
      </c>
      <c r="O76" s="3" t="s">
        <v>479</v>
      </c>
      <c r="P76" s="3" t="s">
        <v>480</v>
      </c>
      <c r="Q76" s="2" t="n">
        <v>46075</v>
      </c>
      <c r="R76" s="3" t="s">
        <v>481</v>
      </c>
      <c r="S76" s="3" t="s">
        <v>83</v>
      </c>
      <c r="T76" s="3" t="s">
        <v>40</v>
      </c>
      <c r="U76" s="3" t="s">
        <v>40</v>
      </c>
      <c r="V76" s="3" t="s">
        <v>40</v>
      </c>
      <c r="W76" s="0" t="n">
        <v>1.6604</v>
      </c>
      <c r="X76" s="0" t="n">
        <v>1.5</v>
      </c>
      <c r="Y76" s="0" t="n">
        <v>0.1604</v>
      </c>
      <c r="Z76" s="0" t="n">
        <v>1</v>
      </c>
      <c r="AA76" s="0" t="n">
        <v>3</v>
      </c>
      <c r="AB76" s="4" t="n">
        <f aca="false">I76*AA76*Z76</f>
        <v>8790.78</v>
      </c>
      <c r="AC76" s="4" t="n">
        <f aca="false">AB76*1.18</f>
        <v>10373.1204</v>
      </c>
    </row>
    <row r="77" customFormat="false" ht="15" hidden="false" customHeight="false" outlineLevel="0" collapsed="false">
      <c r="A77" s="0" t="s">
        <v>41</v>
      </c>
      <c r="B77" s="2" t="n">
        <v>46075</v>
      </c>
      <c r="C77" s="3" t="s">
        <v>482</v>
      </c>
      <c r="D77" s="3" t="s">
        <v>31</v>
      </c>
      <c r="E77" s="3" t="s">
        <v>32</v>
      </c>
      <c r="F77" s="3" t="s">
        <v>85</v>
      </c>
      <c r="G77" s="0" t="n">
        <v>37</v>
      </c>
      <c r="H77" s="0" t="n">
        <v>269.82</v>
      </c>
      <c r="I77" s="0" t="n">
        <v>405.15</v>
      </c>
      <c r="J77" s="2" t="n">
        <v>46073</v>
      </c>
      <c r="K77" s="3" t="s">
        <v>483</v>
      </c>
      <c r="L77" s="2" t="n">
        <v>46073</v>
      </c>
      <c r="M77" s="3" t="s">
        <v>484</v>
      </c>
      <c r="N77" s="2" t="n">
        <v>46073</v>
      </c>
      <c r="O77" s="3" t="s">
        <v>485</v>
      </c>
      <c r="P77" s="3" t="s">
        <v>486</v>
      </c>
      <c r="Q77" s="2" t="n">
        <v>46075</v>
      </c>
      <c r="R77" s="3" t="s">
        <v>487</v>
      </c>
      <c r="S77" s="3" t="s">
        <v>83</v>
      </c>
      <c r="T77" s="3" t="s">
        <v>40</v>
      </c>
      <c r="U77" s="3" t="s">
        <v>40</v>
      </c>
      <c r="V77" s="3" t="s">
        <v>40</v>
      </c>
      <c r="W77" s="0" t="n">
        <v>1.5801</v>
      </c>
      <c r="X77" s="0" t="n">
        <v>1.5</v>
      </c>
      <c r="Y77" s="0" t="n">
        <v>0.0801</v>
      </c>
      <c r="Z77" s="0" t="n">
        <v>1</v>
      </c>
      <c r="AA77" s="0" t="n">
        <v>3</v>
      </c>
      <c r="AB77" s="4" t="n">
        <f aca="false">I77*AA77*Z77</f>
        <v>1215.45</v>
      </c>
      <c r="AC77" s="4" t="n">
        <f aca="false">AB77*1.18</f>
        <v>1434.231</v>
      </c>
    </row>
    <row r="78" customFormat="false" ht="15" hidden="false" customHeight="false" outlineLevel="0" collapsed="false">
      <c r="A78" s="0" t="s">
        <v>41</v>
      </c>
      <c r="B78" s="2" t="n">
        <v>46076</v>
      </c>
      <c r="C78" s="3" t="s">
        <v>488</v>
      </c>
      <c r="D78" s="3" t="s">
        <v>31</v>
      </c>
      <c r="E78" s="3" t="s">
        <v>32</v>
      </c>
      <c r="F78" s="3" t="s">
        <v>33</v>
      </c>
      <c r="G78" s="0" t="n">
        <v>125</v>
      </c>
      <c r="H78" s="0" t="n">
        <v>1578.73</v>
      </c>
      <c r="I78" s="0" t="n">
        <v>2052.78</v>
      </c>
      <c r="J78" s="2" t="n">
        <v>46074</v>
      </c>
      <c r="K78" s="3" t="s">
        <v>489</v>
      </c>
      <c r="L78" s="2" t="n">
        <v>46074</v>
      </c>
      <c r="M78" s="3" t="s">
        <v>490</v>
      </c>
      <c r="N78" s="2" t="n">
        <v>46074</v>
      </c>
      <c r="O78" s="3" t="s">
        <v>163</v>
      </c>
      <c r="P78" s="3" t="s">
        <v>491</v>
      </c>
      <c r="Q78" s="2" t="n">
        <v>46076</v>
      </c>
      <c r="R78" s="3" t="s">
        <v>492</v>
      </c>
      <c r="S78" s="3" t="s">
        <v>99</v>
      </c>
      <c r="T78" s="3" t="s">
        <v>40</v>
      </c>
      <c r="U78" s="3" t="s">
        <v>40</v>
      </c>
      <c r="V78" s="3" t="s">
        <v>40</v>
      </c>
      <c r="W78" s="0" t="n">
        <v>4.8517</v>
      </c>
      <c r="X78" s="0" t="n">
        <v>1.5</v>
      </c>
      <c r="Y78" s="0" t="n">
        <v>3.3517</v>
      </c>
      <c r="Z78" s="0" t="n">
        <v>3</v>
      </c>
      <c r="AA78" s="0" t="n">
        <v>3</v>
      </c>
      <c r="AB78" s="4" t="n">
        <f aca="false">I78*AA78*Z78</f>
        <v>18475.02</v>
      </c>
      <c r="AC78" s="4" t="n">
        <f aca="false">AB78*1.18</f>
        <v>21800.5236</v>
      </c>
    </row>
    <row r="79" customFormat="false" ht="15" hidden="false" customHeight="false" outlineLevel="0" collapsed="false">
      <c r="A79" s="0" t="s">
        <v>41</v>
      </c>
      <c r="B79" s="2" t="n">
        <v>46076</v>
      </c>
      <c r="C79" s="3" t="s">
        <v>493</v>
      </c>
      <c r="D79" s="3" t="s">
        <v>50</v>
      </c>
      <c r="E79" s="3" t="s">
        <v>32</v>
      </c>
      <c r="F79" s="3" t="s">
        <v>33</v>
      </c>
      <c r="G79" s="0" t="n">
        <v>188</v>
      </c>
      <c r="H79" s="0" t="n">
        <v>1799.25</v>
      </c>
      <c r="I79" s="0" t="n">
        <v>2339.37</v>
      </c>
      <c r="J79" s="2" t="n">
        <v>46075</v>
      </c>
      <c r="K79" s="3" t="s">
        <v>494</v>
      </c>
      <c r="L79" s="2" t="n">
        <v>46075</v>
      </c>
      <c r="M79" s="3" t="s">
        <v>282</v>
      </c>
      <c r="N79" s="2" t="n">
        <v>46076</v>
      </c>
      <c r="O79" s="3" t="s">
        <v>495</v>
      </c>
      <c r="P79" s="3" t="s">
        <v>496</v>
      </c>
      <c r="Q79" s="2" t="n">
        <v>46076</v>
      </c>
      <c r="R79" s="3" t="s">
        <v>497</v>
      </c>
      <c r="S79" s="3" t="s">
        <v>256</v>
      </c>
      <c r="T79" s="3" t="s">
        <v>151</v>
      </c>
      <c r="U79" s="3" t="s">
        <v>151</v>
      </c>
      <c r="V79" s="3" t="s">
        <v>151</v>
      </c>
      <c r="W79" s="0" t="n">
        <v>5.0141</v>
      </c>
      <c r="X79" s="0" t="n">
        <v>1.5</v>
      </c>
      <c r="Y79" s="0" t="n">
        <v>3.5141</v>
      </c>
      <c r="Z79" s="0" t="n">
        <v>4</v>
      </c>
      <c r="AA79" s="0" t="n">
        <v>3</v>
      </c>
      <c r="AB79" s="4" t="n">
        <f aca="false">I79*AA79*Z79</f>
        <v>28072.44</v>
      </c>
      <c r="AC79" s="4" t="n">
        <f aca="false">AB79*1.18</f>
        <v>33125.4792</v>
      </c>
    </row>
    <row r="80" customFormat="false" ht="15" hidden="false" customHeight="false" outlineLevel="0" collapsed="false">
      <c r="A80" s="0" t="s">
        <v>29</v>
      </c>
      <c r="B80" s="2" t="n">
        <v>46077</v>
      </c>
      <c r="C80" s="3" t="s">
        <v>498</v>
      </c>
      <c r="D80" s="3" t="s">
        <v>50</v>
      </c>
      <c r="E80" s="3" t="s">
        <v>32</v>
      </c>
      <c r="F80" s="3" t="s">
        <v>85</v>
      </c>
      <c r="G80" s="0" t="n">
        <v>87</v>
      </c>
      <c r="H80" s="0" t="n">
        <v>3004.5</v>
      </c>
      <c r="I80" s="0" t="n">
        <v>3004.56</v>
      </c>
      <c r="J80" s="2" t="n">
        <v>46076</v>
      </c>
      <c r="K80" s="3" t="s">
        <v>499</v>
      </c>
      <c r="L80" s="2" t="n">
        <v>46076</v>
      </c>
      <c r="M80" s="3" t="s">
        <v>500</v>
      </c>
      <c r="N80" s="2" t="n">
        <v>46077</v>
      </c>
      <c r="O80" s="3" t="s">
        <v>501</v>
      </c>
      <c r="P80" s="3" t="s">
        <v>502</v>
      </c>
      <c r="Q80" s="2" t="n">
        <v>46077</v>
      </c>
      <c r="R80" s="3" t="s">
        <v>503</v>
      </c>
      <c r="S80" s="3" t="s">
        <v>69</v>
      </c>
      <c r="T80" s="3" t="s">
        <v>40</v>
      </c>
      <c r="U80" s="3" t="s">
        <v>40</v>
      </c>
      <c r="V80" s="3" t="s">
        <v>40</v>
      </c>
      <c r="W80" s="0" t="n">
        <v>4.7979</v>
      </c>
      <c r="X80" s="0" t="n">
        <v>1.5</v>
      </c>
      <c r="Y80" s="0" t="n">
        <v>3.2979</v>
      </c>
      <c r="Z80" s="0" t="n">
        <v>3</v>
      </c>
      <c r="AA80" s="0" t="n">
        <v>3</v>
      </c>
      <c r="AB80" s="4" t="n">
        <f aca="false">I80*AA80*Z80</f>
        <v>27041.04</v>
      </c>
      <c r="AC80" s="4" t="n">
        <f aca="false">AB80*1.18</f>
        <v>31908.4272</v>
      </c>
    </row>
    <row r="81" customFormat="false" ht="15" hidden="false" customHeight="false" outlineLevel="0" collapsed="false">
      <c r="A81" s="0" t="s">
        <v>29</v>
      </c>
      <c r="B81" s="2" t="n">
        <v>46077</v>
      </c>
      <c r="C81" s="3" t="s">
        <v>504</v>
      </c>
      <c r="D81" s="3" t="s">
        <v>31</v>
      </c>
      <c r="E81" s="3" t="s">
        <v>32</v>
      </c>
      <c r="F81" s="3" t="s">
        <v>85</v>
      </c>
      <c r="G81" s="0" t="n">
        <v>164</v>
      </c>
      <c r="H81" s="0" t="n">
        <v>2803.97</v>
      </c>
      <c r="I81" s="0" t="n">
        <v>4206.21</v>
      </c>
      <c r="J81" s="2" t="n">
        <v>46076</v>
      </c>
      <c r="K81" s="3" t="s">
        <v>505</v>
      </c>
      <c r="L81" s="2" t="n">
        <v>46076</v>
      </c>
      <c r="M81" s="3" t="s">
        <v>506</v>
      </c>
      <c r="N81" s="2" t="n">
        <v>46076</v>
      </c>
      <c r="O81" s="3" t="s">
        <v>507</v>
      </c>
      <c r="P81" s="3" t="s">
        <v>508</v>
      </c>
      <c r="Q81" s="2" t="n">
        <v>46077</v>
      </c>
      <c r="R81" s="3" t="s">
        <v>195</v>
      </c>
      <c r="S81" s="3" t="s">
        <v>256</v>
      </c>
      <c r="T81" s="3" t="s">
        <v>40</v>
      </c>
      <c r="U81" s="3" t="s">
        <v>40</v>
      </c>
      <c r="V81" s="3" t="s">
        <v>40</v>
      </c>
      <c r="W81" s="0" t="n">
        <v>5.2097</v>
      </c>
      <c r="X81" s="0" t="n">
        <v>1.5</v>
      </c>
      <c r="Y81" s="0" t="n">
        <v>3.7097</v>
      </c>
      <c r="Z81" s="0" t="n">
        <v>4</v>
      </c>
      <c r="AA81" s="0" t="n">
        <v>3</v>
      </c>
      <c r="AB81" s="4" t="n">
        <f aca="false">I81*AA81*Z81</f>
        <v>50474.52</v>
      </c>
      <c r="AC81" s="4" t="n">
        <f aca="false">AB81*1.18</f>
        <v>59559.9336</v>
      </c>
    </row>
    <row r="82" customFormat="false" ht="15" hidden="false" customHeight="false" outlineLevel="0" collapsed="false">
      <c r="A82" s="0" t="s">
        <v>41</v>
      </c>
      <c r="B82" s="2" t="n">
        <v>46077</v>
      </c>
      <c r="C82" s="3" t="s">
        <v>509</v>
      </c>
      <c r="D82" s="3" t="s">
        <v>50</v>
      </c>
      <c r="E82" s="3" t="s">
        <v>32</v>
      </c>
      <c r="F82" s="3" t="s">
        <v>85</v>
      </c>
      <c r="G82" s="0" t="n">
        <v>98</v>
      </c>
      <c r="H82" s="0" t="n">
        <v>2064.3</v>
      </c>
      <c r="I82" s="0" t="n">
        <v>3096.5</v>
      </c>
      <c r="J82" s="2" t="n">
        <v>46074</v>
      </c>
      <c r="K82" s="3" t="s">
        <v>510</v>
      </c>
      <c r="L82" s="2" t="n">
        <v>46074</v>
      </c>
      <c r="M82" s="3" t="s">
        <v>511</v>
      </c>
      <c r="N82" s="2" t="n">
        <v>46074</v>
      </c>
      <c r="O82" s="3" t="s">
        <v>512</v>
      </c>
      <c r="P82" s="3" t="s">
        <v>513</v>
      </c>
      <c r="Q82" s="2" t="n">
        <v>46077</v>
      </c>
      <c r="R82" s="3" t="s">
        <v>225</v>
      </c>
      <c r="S82" s="3" t="s">
        <v>409</v>
      </c>
      <c r="T82" s="3" t="s">
        <v>40</v>
      </c>
      <c r="U82" s="3" t="s">
        <v>40</v>
      </c>
      <c r="V82" s="3" t="s">
        <v>40</v>
      </c>
      <c r="W82" s="0" t="n">
        <v>1.308</v>
      </c>
      <c r="X82" s="0" t="n">
        <v>1.5</v>
      </c>
      <c r="Y82" s="0" t="n">
        <v>-0.192</v>
      </c>
      <c r="Z82" s="0" t="n">
        <v>-1</v>
      </c>
      <c r="AA82" s="0" t="n">
        <v>3</v>
      </c>
      <c r="AB82" s="4" t="n">
        <f aca="false">I82*AA82*Z82</f>
        <v>-9289.5</v>
      </c>
      <c r="AC82" s="4" t="n">
        <f aca="false">AB82*1.18</f>
        <v>-10961.61</v>
      </c>
    </row>
    <row r="83" customFormat="false" ht="15" hidden="false" customHeight="false" outlineLevel="0" collapsed="false">
      <c r="A83" s="0" t="s">
        <v>41</v>
      </c>
      <c r="B83" s="2" t="n">
        <v>46077</v>
      </c>
      <c r="C83" s="3" t="s">
        <v>514</v>
      </c>
      <c r="D83" s="3" t="s">
        <v>50</v>
      </c>
      <c r="E83" s="3" t="s">
        <v>32</v>
      </c>
      <c r="F83" s="3" t="s">
        <v>33</v>
      </c>
      <c r="G83" s="0" t="n">
        <v>28</v>
      </c>
      <c r="H83" s="0" t="n">
        <v>1465.26</v>
      </c>
      <c r="I83" s="0" t="n">
        <v>1465.31</v>
      </c>
      <c r="J83" s="2" t="n">
        <v>46076</v>
      </c>
      <c r="K83" s="3" t="s">
        <v>515</v>
      </c>
      <c r="L83" s="2" t="n">
        <v>46076</v>
      </c>
      <c r="M83" s="3" t="s">
        <v>516</v>
      </c>
      <c r="N83" s="2" t="n">
        <v>46076</v>
      </c>
      <c r="O83" s="3" t="s">
        <v>517</v>
      </c>
      <c r="P83" s="3" t="s">
        <v>518</v>
      </c>
      <c r="Q83" s="2" t="n">
        <v>46077</v>
      </c>
      <c r="R83" s="3" t="s">
        <v>519</v>
      </c>
      <c r="S83" s="3" t="s">
        <v>39</v>
      </c>
      <c r="T83" s="3" t="s">
        <v>520</v>
      </c>
      <c r="U83" s="3" t="s">
        <v>520</v>
      </c>
      <c r="V83" s="3" t="s">
        <v>520</v>
      </c>
      <c r="W83" s="0" t="n">
        <v>1.4585</v>
      </c>
      <c r="X83" s="0" t="n">
        <v>1.5</v>
      </c>
      <c r="Y83" s="0" t="n">
        <v>-0.0415</v>
      </c>
      <c r="Z83" s="0" t="n">
        <v>-1</v>
      </c>
      <c r="AA83" s="0" t="n">
        <v>12</v>
      </c>
      <c r="AB83" s="4" t="n">
        <f aca="false">I83*AA83*Z83</f>
        <v>-17583.72</v>
      </c>
      <c r="AC83" s="4" t="n">
        <f aca="false">AB83*1.18</f>
        <v>-20748.7896</v>
      </c>
    </row>
    <row r="84" customFormat="false" ht="15" hidden="false" customHeight="false" outlineLevel="0" collapsed="false">
      <c r="A84" s="0" t="s">
        <v>41</v>
      </c>
      <c r="B84" s="2" t="n">
        <v>46077</v>
      </c>
      <c r="C84" s="3" t="s">
        <v>521</v>
      </c>
      <c r="D84" s="3" t="s">
        <v>31</v>
      </c>
      <c r="E84" s="3" t="s">
        <v>32</v>
      </c>
      <c r="F84" s="3" t="s">
        <v>33</v>
      </c>
      <c r="G84" s="0" t="n">
        <v>97</v>
      </c>
      <c r="H84" s="0" t="n">
        <v>3021.57</v>
      </c>
      <c r="I84" s="0" t="n">
        <v>3021.83</v>
      </c>
      <c r="J84" s="2" t="n">
        <v>46075</v>
      </c>
      <c r="K84" s="3" t="s">
        <v>522</v>
      </c>
      <c r="L84" s="2" t="n">
        <v>46075</v>
      </c>
      <c r="M84" s="3" t="s">
        <v>523</v>
      </c>
      <c r="N84" s="2" t="n">
        <v>46076</v>
      </c>
      <c r="O84" s="3" t="s">
        <v>195</v>
      </c>
      <c r="P84" s="3" t="s">
        <v>524</v>
      </c>
      <c r="Q84" s="2" t="n">
        <v>46077</v>
      </c>
      <c r="R84" s="3" t="s">
        <v>525</v>
      </c>
      <c r="S84" s="3" t="s">
        <v>409</v>
      </c>
      <c r="T84" s="3" t="s">
        <v>40</v>
      </c>
      <c r="U84" s="3" t="s">
        <v>40</v>
      </c>
      <c r="V84" s="3" t="s">
        <v>40</v>
      </c>
      <c r="W84" s="0" t="n">
        <v>3.7433</v>
      </c>
      <c r="X84" s="0" t="n">
        <v>1.5</v>
      </c>
      <c r="Y84" s="0" t="n">
        <v>2.2433</v>
      </c>
      <c r="Z84" s="0" t="n">
        <v>2</v>
      </c>
      <c r="AA84" s="0" t="n">
        <v>3</v>
      </c>
      <c r="AB84" s="4" t="n">
        <f aca="false">I84*AA84*Z84</f>
        <v>18130.98</v>
      </c>
      <c r="AC84" s="4" t="n">
        <f aca="false">AB84*1.18</f>
        <v>21394.5564</v>
      </c>
    </row>
    <row r="85" customFormat="false" ht="15" hidden="false" customHeight="false" outlineLevel="0" collapsed="false">
      <c r="A85" s="0" t="s">
        <v>41</v>
      </c>
      <c r="B85" s="2" t="n">
        <v>46077</v>
      </c>
      <c r="C85" s="3" t="s">
        <v>526</v>
      </c>
      <c r="D85" s="3" t="s">
        <v>31</v>
      </c>
      <c r="E85" s="3" t="s">
        <v>32</v>
      </c>
      <c r="F85" s="3" t="s">
        <v>33</v>
      </c>
      <c r="G85" s="0" t="n">
        <v>51</v>
      </c>
      <c r="H85" s="0" t="n">
        <v>1145.74</v>
      </c>
      <c r="I85" s="0" t="n">
        <v>1145.91</v>
      </c>
      <c r="J85" s="2" t="n">
        <v>46075</v>
      </c>
      <c r="K85" s="3" t="s">
        <v>527</v>
      </c>
      <c r="L85" s="2" t="n">
        <v>46075</v>
      </c>
      <c r="M85" s="3" t="s">
        <v>528</v>
      </c>
      <c r="N85" s="2" t="n">
        <v>46076</v>
      </c>
      <c r="O85" s="3" t="s">
        <v>529</v>
      </c>
      <c r="P85" s="3" t="s">
        <v>530</v>
      </c>
      <c r="Q85" s="2" t="n">
        <v>46077</v>
      </c>
      <c r="R85" s="3" t="s">
        <v>531</v>
      </c>
      <c r="S85" s="3" t="s">
        <v>164</v>
      </c>
      <c r="T85" s="3" t="s">
        <v>100</v>
      </c>
      <c r="U85" s="3" t="s">
        <v>100</v>
      </c>
      <c r="V85" s="3" t="s">
        <v>100</v>
      </c>
      <c r="W85" s="0" t="n">
        <v>0.6419</v>
      </c>
      <c r="X85" s="0" t="n">
        <v>1.5</v>
      </c>
      <c r="Y85" s="0" t="n">
        <v>-0.8581</v>
      </c>
      <c r="Z85" s="0" t="n">
        <v>-1</v>
      </c>
      <c r="AA85" s="0" t="n">
        <v>3</v>
      </c>
      <c r="AB85" s="4" t="n">
        <f aca="false">I85*AA85*Z85</f>
        <v>-3437.73</v>
      </c>
      <c r="AC85" s="4" t="n">
        <f aca="false">AB85*1.18</f>
        <v>-4056.5214</v>
      </c>
    </row>
    <row r="86" customFormat="false" ht="15" hidden="false" customHeight="false" outlineLevel="0" collapsed="false">
      <c r="A86" s="0" t="s">
        <v>41</v>
      </c>
      <c r="B86" s="2" t="n">
        <v>46077</v>
      </c>
      <c r="C86" s="3" t="s">
        <v>532</v>
      </c>
      <c r="D86" s="3" t="s">
        <v>31</v>
      </c>
      <c r="E86" s="3" t="s">
        <v>32</v>
      </c>
      <c r="F86" s="3" t="s">
        <v>33</v>
      </c>
      <c r="G86" s="0" t="n">
        <v>185</v>
      </c>
      <c r="H86" s="0" t="n">
        <v>1786.6</v>
      </c>
      <c r="I86" s="0" t="n">
        <v>1786.86</v>
      </c>
      <c r="J86" s="2" t="n">
        <v>46076</v>
      </c>
      <c r="K86" s="3" t="s">
        <v>533</v>
      </c>
      <c r="L86" s="2" t="n">
        <v>46076</v>
      </c>
      <c r="M86" s="3" t="s">
        <v>534</v>
      </c>
      <c r="N86" s="2" t="n">
        <v>46077</v>
      </c>
      <c r="O86" s="3" t="s">
        <v>483</v>
      </c>
      <c r="P86" s="3" t="s">
        <v>535</v>
      </c>
      <c r="Q86" s="2" t="n">
        <v>46077</v>
      </c>
      <c r="R86" s="3" t="s">
        <v>119</v>
      </c>
      <c r="S86" s="3" t="s">
        <v>48</v>
      </c>
      <c r="T86" s="3" t="s">
        <v>40</v>
      </c>
      <c r="U86" s="3" t="s">
        <v>40</v>
      </c>
      <c r="V86" s="3" t="s">
        <v>40</v>
      </c>
      <c r="W86" s="0" t="n">
        <v>4.7491</v>
      </c>
      <c r="X86" s="0" t="n">
        <v>1.5</v>
      </c>
      <c r="Y86" s="0" t="n">
        <v>3.2491</v>
      </c>
      <c r="Z86" s="0" t="n">
        <v>3</v>
      </c>
      <c r="AA86" s="0" t="n">
        <v>3</v>
      </c>
      <c r="AB86" s="4" t="n">
        <f aca="false">I86*AA86*Z86</f>
        <v>16081.74</v>
      </c>
      <c r="AC86" s="4" t="n">
        <f aca="false">AB86*1.18</f>
        <v>18976.4532</v>
      </c>
    </row>
    <row r="87" customFormat="false" ht="15" hidden="false" customHeight="false" outlineLevel="0" collapsed="false">
      <c r="A87" s="0" t="s">
        <v>29</v>
      </c>
      <c r="B87" s="2" t="n">
        <v>46079</v>
      </c>
      <c r="C87" s="3" t="s">
        <v>536</v>
      </c>
      <c r="D87" s="3" t="s">
        <v>50</v>
      </c>
      <c r="E87" s="3" t="s">
        <v>32</v>
      </c>
      <c r="F87" s="3" t="s">
        <v>51</v>
      </c>
      <c r="G87" s="0" t="n">
        <v>66</v>
      </c>
      <c r="H87" s="0" t="n">
        <v>330.81</v>
      </c>
      <c r="I87" s="0" t="n">
        <v>496.31</v>
      </c>
      <c r="J87" s="2" t="n">
        <v>46076</v>
      </c>
      <c r="K87" s="3" t="s">
        <v>537</v>
      </c>
      <c r="L87" s="2" t="n">
        <v>46076</v>
      </c>
      <c r="M87" s="3" t="s">
        <v>538</v>
      </c>
      <c r="N87" s="2" t="n">
        <v>46076</v>
      </c>
      <c r="O87" s="3" t="s">
        <v>539</v>
      </c>
      <c r="P87" s="3" t="s">
        <v>540</v>
      </c>
      <c r="Q87" s="2" t="n">
        <v>46079</v>
      </c>
      <c r="R87" s="3" t="s">
        <v>541</v>
      </c>
      <c r="S87" s="3" t="s">
        <v>164</v>
      </c>
      <c r="T87" s="3" t="s">
        <v>40</v>
      </c>
      <c r="U87" s="3" t="s">
        <v>40</v>
      </c>
      <c r="V87" s="3" t="s">
        <v>40</v>
      </c>
      <c r="W87" s="0" t="n">
        <v>1.0276</v>
      </c>
      <c r="X87" s="0" t="n">
        <v>1.5</v>
      </c>
      <c r="Y87" s="0" t="n">
        <v>-0.4724</v>
      </c>
      <c r="Z87" s="0" t="n">
        <v>-1</v>
      </c>
      <c r="AA87" s="0" t="n">
        <v>3</v>
      </c>
      <c r="AB87" s="4" t="n">
        <f aca="false">I87*AA87*Z87</f>
        <v>-1488.93</v>
      </c>
      <c r="AC87" s="4" t="n">
        <f aca="false">AB87*1.18</f>
        <v>-1756.9374</v>
      </c>
    </row>
    <row r="88" customFormat="false" ht="15" hidden="false" customHeight="false" outlineLevel="0" collapsed="false">
      <c r="A88" s="0" t="s">
        <v>41</v>
      </c>
      <c r="B88" s="2" t="n">
        <v>46079</v>
      </c>
      <c r="C88" s="3" t="s">
        <v>542</v>
      </c>
      <c r="D88" s="3" t="s">
        <v>31</v>
      </c>
      <c r="E88" s="3" t="s">
        <v>32</v>
      </c>
      <c r="F88" s="3" t="s">
        <v>33</v>
      </c>
      <c r="G88" s="0" t="n">
        <v>160</v>
      </c>
      <c r="H88" s="0" t="n">
        <v>1322.16</v>
      </c>
      <c r="I88" s="0" t="n">
        <v>1322.55</v>
      </c>
      <c r="J88" s="2" t="n">
        <v>46076</v>
      </c>
      <c r="K88" s="3" t="s">
        <v>510</v>
      </c>
      <c r="L88" s="2" t="n">
        <v>46076</v>
      </c>
      <c r="M88" s="3" t="s">
        <v>495</v>
      </c>
      <c r="N88" s="2" t="n">
        <v>46076</v>
      </c>
      <c r="O88" s="3" t="s">
        <v>543</v>
      </c>
      <c r="P88" s="3" t="s">
        <v>544</v>
      </c>
      <c r="Q88" s="2" t="n">
        <v>46079</v>
      </c>
      <c r="R88" s="3" t="s">
        <v>543</v>
      </c>
      <c r="S88" s="3" t="s">
        <v>91</v>
      </c>
      <c r="T88" s="3" t="s">
        <v>40</v>
      </c>
      <c r="U88" s="3" t="s">
        <v>40</v>
      </c>
      <c r="V88" s="3" t="s">
        <v>40</v>
      </c>
      <c r="W88" s="0" t="n">
        <v>3.6159</v>
      </c>
      <c r="X88" s="0" t="n">
        <v>1.5</v>
      </c>
      <c r="Y88" s="0" t="n">
        <v>2.1159</v>
      </c>
      <c r="Z88" s="0" t="n">
        <v>2</v>
      </c>
      <c r="AA88" s="0" t="n">
        <v>3</v>
      </c>
      <c r="AB88" s="4" t="n">
        <f aca="false">I88*AA88*Z88</f>
        <v>7935.3</v>
      </c>
      <c r="AC88" s="4" t="n">
        <f aca="false">AB88*1.18</f>
        <v>9363.654</v>
      </c>
    </row>
    <row r="89" customFormat="false" ht="15" hidden="false" customHeight="false" outlineLevel="0" collapsed="false">
      <c r="A89" s="0" t="s">
        <v>29</v>
      </c>
      <c r="B89" s="2" t="n">
        <v>46080</v>
      </c>
      <c r="C89" s="3" t="s">
        <v>545</v>
      </c>
      <c r="D89" s="3" t="s">
        <v>31</v>
      </c>
      <c r="E89" s="3" t="s">
        <v>32</v>
      </c>
      <c r="F89" s="3" t="s">
        <v>33</v>
      </c>
      <c r="G89" s="0" t="n">
        <v>200</v>
      </c>
      <c r="H89" s="0" t="n">
        <v>1500.03</v>
      </c>
      <c r="I89" s="0" t="n">
        <v>1500.43</v>
      </c>
      <c r="J89" s="2" t="n">
        <v>46078</v>
      </c>
      <c r="K89" s="3" t="s">
        <v>546</v>
      </c>
      <c r="L89" s="2" t="n">
        <v>46078</v>
      </c>
      <c r="M89" s="3" t="s">
        <v>547</v>
      </c>
      <c r="N89" s="2" t="n">
        <v>46079</v>
      </c>
      <c r="O89" s="3" t="s">
        <v>548</v>
      </c>
      <c r="P89" s="3" t="s">
        <v>549</v>
      </c>
      <c r="Q89" s="2" t="n">
        <v>46080</v>
      </c>
      <c r="R89" s="3" t="s">
        <v>550</v>
      </c>
      <c r="S89" s="3" t="s">
        <v>76</v>
      </c>
      <c r="T89" s="3" t="s">
        <v>40</v>
      </c>
      <c r="U89" s="3" t="s">
        <v>40</v>
      </c>
      <c r="V89" s="3" t="s">
        <v>40</v>
      </c>
      <c r="W89" s="0" t="n">
        <v>2.0904</v>
      </c>
      <c r="X89" s="0" t="n">
        <v>1.5</v>
      </c>
      <c r="Y89" s="0" t="n">
        <v>0.5904</v>
      </c>
      <c r="Z89" s="0" t="n">
        <v>1</v>
      </c>
      <c r="AA89" s="0" t="n">
        <v>3</v>
      </c>
      <c r="AB89" s="4" t="n">
        <f aca="false">I89*AA89*Z89</f>
        <v>4501.29</v>
      </c>
      <c r="AC89" s="4" t="n">
        <f aca="false">AB89*1.18</f>
        <v>5311.5222</v>
      </c>
    </row>
    <row r="90" customFormat="false" ht="15" hidden="false" customHeight="false" outlineLevel="0" collapsed="false">
      <c r="A90" s="0" t="s">
        <v>29</v>
      </c>
      <c r="B90" s="2" t="n">
        <v>46080</v>
      </c>
      <c r="C90" s="3" t="s">
        <v>551</v>
      </c>
      <c r="D90" s="3" t="s">
        <v>50</v>
      </c>
      <c r="E90" s="3" t="s">
        <v>32</v>
      </c>
      <c r="F90" s="3" t="s">
        <v>85</v>
      </c>
      <c r="G90" s="0" t="n">
        <v>45</v>
      </c>
      <c r="H90" s="0" t="n">
        <v>1426.03</v>
      </c>
      <c r="I90" s="0" t="n">
        <v>1426.45</v>
      </c>
      <c r="J90" s="2" t="n">
        <v>46077</v>
      </c>
      <c r="K90" s="3" t="s">
        <v>552</v>
      </c>
      <c r="L90" s="2" t="n">
        <v>46077</v>
      </c>
      <c r="M90" s="3" t="s">
        <v>553</v>
      </c>
      <c r="N90" s="2" t="n">
        <v>46077</v>
      </c>
      <c r="O90" s="3" t="s">
        <v>554</v>
      </c>
      <c r="P90" s="3" t="s">
        <v>555</v>
      </c>
      <c r="Q90" s="2" t="n">
        <v>46080</v>
      </c>
      <c r="R90" s="3" t="s">
        <v>556</v>
      </c>
      <c r="S90" s="3" t="s">
        <v>91</v>
      </c>
      <c r="T90" s="3" t="s">
        <v>40</v>
      </c>
      <c r="U90" s="3" t="s">
        <v>40</v>
      </c>
      <c r="V90" s="3" t="s">
        <v>40</v>
      </c>
      <c r="W90" s="0" t="n">
        <v>1.4456</v>
      </c>
      <c r="X90" s="0" t="n">
        <v>1.5</v>
      </c>
      <c r="Y90" s="0" t="n">
        <v>-0.0544</v>
      </c>
      <c r="Z90" s="0" t="n">
        <v>-1</v>
      </c>
      <c r="AA90" s="0" t="n">
        <v>3</v>
      </c>
      <c r="AB90" s="4" t="n">
        <f aca="false">I90*AA90*Z90</f>
        <v>-4279.35</v>
      </c>
      <c r="AC90" s="4" t="n">
        <f aca="false">AB90*1.18</f>
        <v>-5049.633</v>
      </c>
    </row>
    <row r="91" customFormat="false" ht="15" hidden="false" customHeight="false" outlineLevel="0" collapsed="false">
      <c r="A91" s="0" t="s">
        <v>29</v>
      </c>
      <c r="B91" s="2" t="n">
        <v>46080</v>
      </c>
      <c r="C91" s="3" t="s">
        <v>557</v>
      </c>
      <c r="D91" s="3" t="s">
        <v>50</v>
      </c>
      <c r="E91" s="3" t="s">
        <v>32</v>
      </c>
      <c r="F91" s="3" t="s">
        <v>85</v>
      </c>
      <c r="G91" s="0" t="n">
        <v>67</v>
      </c>
      <c r="H91" s="0" t="n">
        <v>2188.97</v>
      </c>
      <c r="I91" s="0" t="n">
        <v>2189.43</v>
      </c>
      <c r="J91" s="2" t="n">
        <v>46078</v>
      </c>
      <c r="K91" s="3" t="s">
        <v>311</v>
      </c>
      <c r="L91" s="2" t="n">
        <v>46078</v>
      </c>
      <c r="M91" s="3" t="s">
        <v>558</v>
      </c>
      <c r="N91" s="2" t="n">
        <v>46078</v>
      </c>
      <c r="O91" s="3" t="s">
        <v>559</v>
      </c>
      <c r="P91" s="3" t="s">
        <v>560</v>
      </c>
      <c r="Q91" s="2" t="n">
        <v>46080</v>
      </c>
      <c r="R91" s="3" t="s">
        <v>561</v>
      </c>
      <c r="S91" s="3" t="s">
        <v>39</v>
      </c>
      <c r="T91" s="3" t="s">
        <v>40</v>
      </c>
      <c r="U91" s="3" t="s">
        <v>40</v>
      </c>
      <c r="V91" s="3" t="s">
        <v>40</v>
      </c>
      <c r="W91" s="0" t="n">
        <v>1.0739</v>
      </c>
      <c r="X91" s="0" t="n">
        <v>1.5</v>
      </c>
      <c r="Y91" s="0" t="n">
        <v>-0.4261</v>
      </c>
      <c r="Z91" s="0" t="n">
        <v>-1</v>
      </c>
      <c r="AA91" s="0" t="n">
        <v>3</v>
      </c>
      <c r="AB91" s="4" t="n">
        <f aca="false">I91*AA91*Z91</f>
        <v>-6568.29</v>
      </c>
      <c r="AC91" s="4" t="n">
        <f aca="false">AB91*1.18</f>
        <v>-7750.5822</v>
      </c>
    </row>
    <row r="92" customFormat="false" ht="15" hidden="false" customHeight="false" outlineLevel="0" collapsed="false">
      <c r="A92" s="0" t="s">
        <v>41</v>
      </c>
      <c r="B92" s="2" t="n">
        <v>46080</v>
      </c>
      <c r="C92" s="3" t="s">
        <v>562</v>
      </c>
      <c r="D92" s="3" t="s">
        <v>31</v>
      </c>
      <c r="E92" s="3" t="s">
        <v>32</v>
      </c>
      <c r="F92" s="3" t="s">
        <v>85</v>
      </c>
      <c r="G92" s="0" t="n">
        <v>167</v>
      </c>
      <c r="H92" s="0" t="n">
        <v>2665.95</v>
      </c>
      <c r="I92" s="0" t="n">
        <v>3999</v>
      </c>
      <c r="J92" s="2" t="n">
        <v>46078</v>
      </c>
      <c r="K92" s="3" t="s">
        <v>563</v>
      </c>
      <c r="L92" s="2" t="n">
        <v>46078</v>
      </c>
      <c r="M92" s="3" t="s">
        <v>253</v>
      </c>
      <c r="N92" s="2" t="n">
        <v>46079</v>
      </c>
      <c r="O92" s="3" t="s">
        <v>564</v>
      </c>
      <c r="P92" s="3" t="s">
        <v>565</v>
      </c>
      <c r="Q92" s="2" t="n">
        <v>46080</v>
      </c>
      <c r="R92" s="3" t="s">
        <v>566</v>
      </c>
      <c r="S92" s="3" t="s">
        <v>69</v>
      </c>
      <c r="T92" s="3" t="s">
        <v>567</v>
      </c>
      <c r="U92" s="3" t="s">
        <v>567</v>
      </c>
      <c r="V92" s="3" t="s">
        <v>567</v>
      </c>
      <c r="W92" s="0" t="n">
        <v>4.7438</v>
      </c>
      <c r="X92" s="0" t="n">
        <v>1.5</v>
      </c>
      <c r="Y92" s="0" t="n">
        <v>3.2438</v>
      </c>
      <c r="Z92" s="0" t="n">
        <v>3</v>
      </c>
      <c r="AA92" s="0" t="n">
        <v>12</v>
      </c>
      <c r="AB92" s="4" t="n">
        <f aca="false">I92*AA92*Z92</f>
        <v>143964</v>
      </c>
      <c r="AC92" s="4" t="n">
        <f aca="false">AB92*1.18</f>
        <v>169877.52</v>
      </c>
    </row>
    <row r="93" customFormat="false" ht="15" hidden="false" customHeight="false" outlineLevel="0" collapsed="false">
      <c r="A93" s="0" t="s">
        <v>29</v>
      </c>
      <c r="B93" s="2" t="n">
        <v>46081</v>
      </c>
      <c r="C93" s="3" t="s">
        <v>568</v>
      </c>
      <c r="D93" s="3" t="s">
        <v>31</v>
      </c>
      <c r="E93" s="3" t="s">
        <v>32</v>
      </c>
      <c r="F93" s="3" t="s">
        <v>85</v>
      </c>
      <c r="G93" s="0" t="n">
        <v>121</v>
      </c>
      <c r="H93" s="0" t="n">
        <v>2219.53</v>
      </c>
      <c r="I93" s="0" t="n">
        <v>2219.89</v>
      </c>
      <c r="J93" s="2" t="n">
        <v>46078</v>
      </c>
      <c r="K93" s="3" t="s">
        <v>569</v>
      </c>
      <c r="L93" s="2" t="n">
        <v>46078</v>
      </c>
      <c r="M93" s="3" t="s">
        <v>283</v>
      </c>
      <c r="N93" s="2" t="n">
        <v>46079</v>
      </c>
      <c r="O93" s="3" t="s">
        <v>456</v>
      </c>
      <c r="P93" s="3" t="s">
        <v>570</v>
      </c>
      <c r="Q93" s="2" t="n">
        <v>46081</v>
      </c>
      <c r="R93" s="3" t="s">
        <v>103</v>
      </c>
      <c r="S93" s="3" t="s">
        <v>76</v>
      </c>
      <c r="T93" s="3" t="s">
        <v>40</v>
      </c>
      <c r="U93" s="3" t="s">
        <v>40</v>
      </c>
      <c r="V93" s="3" t="s">
        <v>40</v>
      </c>
      <c r="W93" s="0" t="n">
        <v>5.0326</v>
      </c>
      <c r="X93" s="0" t="n">
        <v>1.5</v>
      </c>
      <c r="Y93" s="0" t="n">
        <v>3.5326</v>
      </c>
      <c r="Z93" s="0" t="n">
        <v>4</v>
      </c>
      <c r="AA93" s="0" t="n">
        <v>3</v>
      </c>
      <c r="AB93" s="4" t="n">
        <f aca="false">I93*AA93*Z93</f>
        <v>26638.68</v>
      </c>
      <c r="AC93" s="4" t="n">
        <f aca="false">AB93*1.18</f>
        <v>31433.6424</v>
      </c>
    </row>
    <row r="94" customFormat="false" ht="15" hidden="false" customHeight="false" outlineLevel="0" collapsed="false">
      <c r="A94" s="0" t="s">
        <v>29</v>
      </c>
      <c r="B94" s="2" t="n">
        <v>46081</v>
      </c>
      <c r="C94" s="3" t="s">
        <v>571</v>
      </c>
      <c r="D94" s="3" t="s">
        <v>31</v>
      </c>
      <c r="E94" s="3" t="s">
        <v>32</v>
      </c>
      <c r="F94" s="3" t="s">
        <v>33</v>
      </c>
      <c r="G94" s="0" t="n">
        <v>217</v>
      </c>
      <c r="H94" s="0" t="n">
        <v>1808.86</v>
      </c>
      <c r="I94" s="0" t="n">
        <v>1990.09</v>
      </c>
      <c r="J94" s="2" t="n">
        <v>46080</v>
      </c>
      <c r="K94" s="3" t="s">
        <v>572</v>
      </c>
      <c r="L94" s="2" t="n">
        <v>46081</v>
      </c>
      <c r="M94" s="3" t="s">
        <v>241</v>
      </c>
      <c r="N94" s="2" t="n">
        <v>46080</v>
      </c>
      <c r="O94" s="3" t="s">
        <v>198</v>
      </c>
      <c r="P94" s="3" t="s">
        <v>573</v>
      </c>
      <c r="Q94" s="2" t="n">
        <v>46081</v>
      </c>
      <c r="R94" s="3" t="s">
        <v>245</v>
      </c>
      <c r="S94" s="3" t="s">
        <v>39</v>
      </c>
      <c r="T94" s="3" t="s">
        <v>520</v>
      </c>
      <c r="U94" s="3" t="s">
        <v>520</v>
      </c>
      <c r="V94" s="3" t="s">
        <v>520</v>
      </c>
      <c r="W94" s="0" t="n">
        <v>0.8066</v>
      </c>
      <c r="X94" s="0" t="n">
        <v>1.5</v>
      </c>
      <c r="Y94" s="0" t="n">
        <v>-0.6934</v>
      </c>
      <c r="Z94" s="0" t="n">
        <v>-1</v>
      </c>
      <c r="AA94" s="0" t="n">
        <v>12</v>
      </c>
      <c r="AB94" s="4" t="n">
        <f aca="false">I94*AA94*Z94</f>
        <v>-23881.08</v>
      </c>
      <c r="AC94" s="4" t="n">
        <f aca="false">AB94*1.18</f>
        <v>-28179.6744</v>
      </c>
    </row>
    <row r="95" customFormat="false" ht="15" hidden="false" customHeight="false" outlineLevel="0" collapsed="false">
      <c r="A95" s="0" t="s">
        <v>29</v>
      </c>
      <c r="B95" s="2" t="n">
        <v>46081</v>
      </c>
      <c r="C95" s="3" t="s">
        <v>574</v>
      </c>
      <c r="D95" s="3" t="s">
        <v>31</v>
      </c>
      <c r="E95" s="3" t="s">
        <v>32</v>
      </c>
      <c r="F95" s="3" t="s">
        <v>85</v>
      </c>
      <c r="G95" s="0" t="n">
        <v>6</v>
      </c>
      <c r="H95" s="0" t="n">
        <v>916.14</v>
      </c>
      <c r="I95" s="0" t="n">
        <v>916.59</v>
      </c>
      <c r="J95" s="2" t="n">
        <v>46080</v>
      </c>
      <c r="K95" s="3" t="s">
        <v>181</v>
      </c>
      <c r="L95" s="2" t="n">
        <v>46080</v>
      </c>
      <c r="M95" s="3" t="s">
        <v>575</v>
      </c>
      <c r="N95" s="2" t="n">
        <v>46080</v>
      </c>
      <c r="O95" s="3" t="s">
        <v>576</v>
      </c>
      <c r="P95" s="3" t="s">
        <v>577</v>
      </c>
      <c r="Q95" s="2" t="n">
        <v>46081</v>
      </c>
      <c r="R95" s="3" t="s">
        <v>94</v>
      </c>
      <c r="S95" s="3" t="s">
        <v>279</v>
      </c>
      <c r="T95" s="3" t="s">
        <v>92</v>
      </c>
      <c r="U95" s="3" t="s">
        <v>92</v>
      </c>
      <c r="V95" s="3" t="s">
        <v>92</v>
      </c>
      <c r="W95" s="0" t="n">
        <v>3.8052</v>
      </c>
      <c r="X95" s="0" t="n">
        <v>1.5</v>
      </c>
      <c r="Y95" s="0" t="n">
        <v>2.3052</v>
      </c>
      <c r="Z95" s="0" t="n">
        <v>2</v>
      </c>
      <c r="AA95" s="0" t="n">
        <v>5</v>
      </c>
      <c r="AB95" s="4" t="n">
        <f aca="false">I95*AA95*Z95</f>
        <v>9165.9</v>
      </c>
      <c r="AC95" s="4" t="n">
        <f aca="false">AB95*1.18</f>
        <v>10815.762</v>
      </c>
    </row>
    <row r="96" customFormat="false" ht="15" hidden="false" customHeight="false" outlineLevel="0" collapsed="false">
      <c r="A96" s="0" t="s">
        <v>41</v>
      </c>
      <c r="B96" s="2" t="n">
        <v>46081</v>
      </c>
      <c r="C96" s="3" t="s">
        <v>578</v>
      </c>
      <c r="D96" s="3" t="s">
        <v>50</v>
      </c>
      <c r="E96" s="3" t="s">
        <v>32</v>
      </c>
      <c r="F96" s="3" t="s">
        <v>51</v>
      </c>
      <c r="G96" s="0" t="n">
        <v>52</v>
      </c>
      <c r="H96" s="0" t="n">
        <v>1579.52</v>
      </c>
      <c r="I96" s="0" t="n">
        <v>1737.94</v>
      </c>
      <c r="J96" s="2" t="n">
        <v>46079</v>
      </c>
      <c r="K96" s="3" t="s">
        <v>579</v>
      </c>
      <c r="L96" s="2" t="n">
        <v>46079</v>
      </c>
      <c r="M96" s="3" t="s">
        <v>580</v>
      </c>
      <c r="N96" s="2" t="n">
        <v>46080</v>
      </c>
      <c r="O96" s="3" t="s">
        <v>581</v>
      </c>
      <c r="P96" s="3" t="s">
        <v>582</v>
      </c>
      <c r="Q96" s="2" t="n">
        <v>46081</v>
      </c>
      <c r="R96" s="3" t="s">
        <v>583</v>
      </c>
      <c r="S96" s="3" t="s">
        <v>48</v>
      </c>
      <c r="T96" s="3" t="s">
        <v>40</v>
      </c>
      <c r="U96" s="3" t="s">
        <v>40</v>
      </c>
      <c r="V96" s="3" t="s">
        <v>40</v>
      </c>
      <c r="W96" s="0" t="n">
        <v>5.3802</v>
      </c>
      <c r="X96" s="0" t="n">
        <v>1.5</v>
      </c>
      <c r="Y96" s="0" t="n">
        <v>3.8802</v>
      </c>
      <c r="Z96" s="0" t="n">
        <v>4</v>
      </c>
      <c r="AA96" s="0" t="n">
        <v>3</v>
      </c>
      <c r="AB96" s="4" t="n">
        <f aca="false">I96*AA96*Z96</f>
        <v>20855.28</v>
      </c>
      <c r="AC96" s="4" t="n">
        <f aca="false">AB96*1.18</f>
        <v>24609.2304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584</v>
      </c>
    </row>
    <row r="2" customFormat="false" ht="15" hidden="false" customHeight="false" outlineLevel="0" collapsed="false">
      <c r="H2" s="0" t="s">
        <v>585</v>
      </c>
    </row>
    <row r="3" customFormat="false" ht="23.85" hidden="false" customHeight="false" outlineLevel="0" collapsed="false">
      <c r="A3" s="1" t="s">
        <v>586</v>
      </c>
      <c r="B3" s="1" t="s">
        <v>587</v>
      </c>
      <c r="C3" s="1" t="s">
        <v>588</v>
      </c>
      <c r="D3" s="1" t="s">
        <v>589</v>
      </c>
      <c r="E3" s="1" t="s">
        <v>590</v>
      </c>
      <c r="F3" s="1" t="s">
        <v>591</v>
      </c>
      <c r="G3" s="1" t="s">
        <v>592</v>
      </c>
      <c r="H3" s="1" t="s">
        <v>593</v>
      </c>
    </row>
    <row r="4" customFormat="false" ht="15" hidden="false" customHeight="false" outlineLevel="0" collapsed="false">
      <c r="A4" s="0" t="n">
        <v>1</v>
      </c>
      <c r="B4" s="6" t="n">
        <v>46054</v>
      </c>
      <c r="C4" s="3" t="s">
        <v>29</v>
      </c>
      <c r="D4" s="3" t="s">
        <v>594</v>
      </c>
      <c r="E4" s="0" t="n">
        <v>105</v>
      </c>
      <c r="F4" s="0" t="n">
        <v>2036.9</v>
      </c>
      <c r="G4" s="0" t="n">
        <v>2240.8</v>
      </c>
      <c r="H4" s="4" t="n">
        <f aca="false">G4*2.05*1.18</f>
        <v>5420.4952</v>
      </c>
    </row>
    <row r="5" customFormat="false" ht="15" hidden="false" customHeight="false" outlineLevel="0" collapsed="false">
      <c r="A5" s="0" t="n">
        <v>2</v>
      </c>
      <c r="B5" s="6" t="n">
        <v>46054</v>
      </c>
      <c r="C5" s="3" t="s">
        <v>29</v>
      </c>
      <c r="D5" s="3" t="s">
        <v>595</v>
      </c>
      <c r="E5" s="0" t="n">
        <v>105</v>
      </c>
      <c r="F5" s="0" t="n">
        <v>2036.9</v>
      </c>
      <c r="G5" s="0" t="n">
        <v>2240.8</v>
      </c>
      <c r="H5" s="4" t="n">
        <f aca="false">G5*3.1*1.18</f>
        <v>8196.8464</v>
      </c>
    </row>
    <row r="6" customFormat="false" ht="15" hidden="false" customHeight="false" outlineLevel="0" collapsed="false">
      <c r="A6" s="0" t="n">
        <v>3</v>
      </c>
      <c r="B6" s="6" t="n">
        <v>46054</v>
      </c>
      <c r="C6" s="3" t="s">
        <v>29</v>
      </c>
      <c r="D6" s="3" t="s">
        <v>596</v>
      </c>
      <c r="E6" s="0" t="n">
        <v>105</v>
      </c>
      <c r="F6" s="0" t="n">
        <v>2036.9</v>
      </c>
      <c r="G6" s="0" t="n">
        <v>2240.8</v>
      </c>
      <c r="H6" s="4" t="n">
        <f aca="false">G6*3*1.18</f>
        <v>7932.432</v>
      </c>
    </row>
    <row r="7" customFormat="false" ht="15" hidden="false" customHeight="false" outlineLevel="0" collapsed="false">
      <c r="A7" s="0" t="n">
        <v>4</v>
      </c>
      <c r="B7" s="6" t="n">
        <v>46054</v>
      </c>
      <c r="C7" s="3" t="s">
        <v>41</v>
      </c>
      <c r="D7" s="3" t="s">
        <v>594</v>
      </c>
      <c r="E7" s="0" t="n">
        <v>175</v>
      </c>
      <c r="F7" s="0" t="n">
        <v>580.1</v>
      </c>
      <c r="G7" s="0" t="n">
        <v>682.1</v>
      </c>
      <c r="H7" s="4" t="n">
        <f aca="false">G7*2.05*1.18</f>
        <v>1649.9999</v>
      </c>
    </row>
    <row r="8" customFormat="false" ht="15" hidden="false" customHeight="false" outlineLevel="0" collapsed="false">
      <c r="A8" s="0" t="n">
        <v>5</v>
      </c>
      <c r="B8" s="6" t="n">
        <v>46054</v>
      </c>
      <c r="C8" s="3" t="s">
        <v>41</v>
      </c>
      <c r="D8" s="3" t="s">
        <v>595</v>
      </c>
      <c r="E8" s="0" t="n">
        <v>175</v>
      </c>
      <c r="F8" s="0" t="n">
        <v>580.1</v>
      </c>
      <c r="G8" s="0" t="n">
        <v>682.1</v>
      </c>
      <c r="H8" s="4" t="n">
        <f aca="false">G8*3.1*1.18</f>
        <v>2495.1218</v>
      </c>
    </row>
    <row r="9" customFormat="false" ht="15" hidden="false" customHeight="false" outlineLevel="0" collapsed="false">
      <c r="A9" s="0" t="n">
        <v>6</v>
      </c>
      <c r="B9" s="6" t="n">
        <v>46054</v>
      </c>
      <c r="C9" s="3" t="s">
        <v>41</v>
      </c>
      <c r="D9" s="3" t="s">
        <v>596</v>
      </c>
      <c r="E9" s="0" t="n">
        <v>175</v>
      </c>
      <c r="F9" s="0" t="n">
        <v>580.1</v>
      </c>
      <c r="G9" s="0" t="n">
        <v>682.1</v>
      </c>
      <c r="H9" s="4" t="n">
        <f aca="false">G9*3*1.18</f>
        <v>2414.634</v>
      </c>
    </row>
    <row r="10" customFormat="false" ht="15" hidden="false" customHeight="false" outlineLevel="0" collapsed="false">
      <c r="A10" s="0" t="n">
        <v>7</v>
      </c>
      <c r="B10" s="6" t="n">
        <v>46055</v>
      </c>
      <c r="C10" s="3" t="s">
        <v>29</v>
      </c>
      <c r="D10" s="3" t="s">
        <v>594</v>
      </c>
      <c r="E10" s="0" t="n">
        <v>260</v>
      </c>
      <c r="F10" s="0" t="n">
        <v>4083.8</v>
      </c>
      <c r="G10" s="0" t="n">
        <v>4084.7</v>
      </c>
      <c r="H10" s="4" t="n">
        <f aca="false">G10*2.05*1.18</f>
        <v>9880.8893</v>
      </c>
    </row>
    <row r="11" customFormat="false" ht="15" hidden="false" customHeight="false" outlineLevel="0" collapsed="false">
      <c r="A11" s="0" t="n">
        <v>8</v>
      </c>
      <c r="B11" s="6" t="n">
        <v>46055</v>
      </c>
      <c r="C11" s="3" t="s">
        <v>29</v>
      </c>
      <c r="D11" s="3" t="s">
        <v>595</v>
      </c>
      <c r="E11" s="0" t="n">
        <v>260</v>
      </c>
      <c r="F11" s="0" t="n">
        <v>4083.8</v>
      </c>
      <c r="G11" s="0" t="n">
        <v>4084.7</v>
      </c>
      <c r="H11" s="4" t="n">
        <f aca="false">G11*3.1*1.18</f>
        <v>14941.8326</v>
      </c>
    </row>
    <row r="12" customFormat="false" ht="15" hidden="false" customHeight="false" outlineLevel="0" collapsed="false">
      <c r="A12" s="0" t="n">
        <v>9</v>
      </c>
      <c r="B12" s="6" t="n">
        <v>46055</v>
      </c>
      <c r="C12" s="3" t="s">
        <v>29</v>
      </c>
      <c r="D12" s="3" t="s">
        <v>596</v>
      </c>
      <c r="E12" s="0" t="n">
        <v>260</v>
      </c>
      <c r="F12" s="0" t="n">
        <v>4083.8</v>
      </c>
      <c r="G12" s="0" t="n">
        <v>4084.7</v>
      </c>
      <c r="H12" s="4" t="n">
        <f aca="false">G12*3*1.18</f>
        <v>14459.838</v>
      </c>
    </row>
    <row r="13" customFormat="false" ht="15" hidden="false" customHeight="false" outlineLevel="0" collapsed="false">
      <c r="A13" s="0" t="n">
        <v>10</v>
      </c>
      <c r="B13" s="6" t="n">
        <v>46055</v>
      </c>
      <c r="C13" s="3" t="s">
        <v>41</v>
      </c>
      <c r="D13" s="3" t="s">
        <v>594</v>
      </c>
      <c r="E13" s="0" t="n">
        <v>237</v>
      </c>
      <c r="F13" s="0" t="n">
        <v>3598.9</v>
      </c>
      <c r="G13" s="0" t="n">
        <v>5398.9</v>
      </c>
      <c r="H13" s="4" t="n">
        <f aca="false">G13*2.05*1.18</f>
        <v>13059.9391</v>
      </c>
    </row>
    <row r="14" customFormat="false" ht="15" hidden="false" customHeight="false" outlineLevel="0" collapsed="false">
      <c r="A14" s="0" t="n">
        <v>11</v>
      </c>
      <c r="B14" s="6" t="n">
        <v>46055</v>
      </c>
      <c r="C14" s="3" t="s">
        <v>41</v>
      </c>
      <c r="D14" s="3" t="s">
        <v>595</v>
      </c>
      <c r="E14" s="0" t="n">
        <v>237</v>
      </c>
      <c r="F14" s="0" t="n">
        <v>3598.9</v>
      </c>
      <c r="G14" s="0" t="n">
        <v>5398.9</v>
      </c>
      <c r="H14" s="4" t="n">
        <f aca="false">G14*3.1*1.18</f>
        <v>19749.1762</v>
      </c>
    </row>
    <row r="15" customFormat="false" ht="15" hidden="false" customHeight="false" outlineLevel="0" collapsed="false">
      <c r="A15" s="0" t="n">
        <v>12</v>
      </c>
      <c r="B15" s="6" t="n">
        <v>46055</v>
      </c>
      <c r="C15" s="3" t="s">
        <v>41</v>
      </c>
      <c r="D15" s="3" t="s">
        <v>596</v>
      </c>
      <c r="E15" s="0" t="n">
        <v>237</v>
      </c>
      <c r="F15" s="0" t="n">
        <v>3598.9</v>
      </c>
      <c r="G15" s="0" t="n">
        <v>5398.9</v>
      </c>
      <c r="H15" s="4" t="n">
        <f aca="false">G15*3*1.18</f>
        <v>19112.106</v>
      </c>
    </row>
    <row r="16" customFormat="false" ht="15" hidden="false" customHeight="false" outlineLevel="0" collapsed="false">
      <c r="A16" s="0" t="n">
        <v>13</v>
      </c>
      <c r="B16" s="6" t="n">
        <v>46056</v>
      </c>
      <c r="C16" s="3" t="s">
        <v>29</v>
      </c>
      <c r="D16" s="3" t="s">
        <v>594</v>
      </c>
      <c r="E16" s="0" t="n">
        <v>304</v>
      </c>
      <c r="F16" s="0" t="n">
        <v>4162.9</v>
      </c>
      <c r="G16" s="0" t="n">
        <v>5757.2</v>
      </c>
      <c r="H16" s="4" t="n">
        <f aca="false">G16*2.05*1.18</f>
        <v>13926.6668</v>
      </c>
    </row>
    <row r="17" customFormat="false" ht="15" hidden="false" customHeight="false" outlineLevel="0" collapsed="false">
      <c r="A17" s="0" t="n">
        <v>14</v>
      </c>
      <c r="B17" s="6" t="n">
        <v>46056</v>
      </c>
      <c r="C17" s="3" t="s">
        <v>29</v>
      </c>
      <c r="D17" s="3" t="s">
        <v>595</v>
      </c>
      <c r="E17" s="0" t="n">
        <v>304</v>
      </c>
      <c r="F17" s="0" t="n">
        <v>4162.9</v>
      </c>
      <c r="G17" s="0" t="n">
        <v>5757.2</v>
      </c>
      <c r="H17" s="4" t="n">
        <f aca="false">G17*3.1*1.18</f>
        <v>21059.8376</v>
      </c>
    </row>
    <row r="18" customFormat="false" ht="15" hidden="false" customHeight="false" outlineLevel="0" collapsed="false">
      <c r="A18" s="0" t="n">
        <v>15</v>
      </c>
      <c r="B18" s="6" t="n">
        <v>46056</v>
      </c>
      <c r="C18" s="3" t="s">
        <v>29</v>
      </c>
      <c r="D18" s="3" t="s">
        <v>596</v>
      </c>
      <c r="E18" s="0" t="n">
        <v>304</v>
      </c>
      <c r="F18" s="0" t="n">
        <v>4162.9</v>
      </c>
      <c r="G18" s="0" t="n">
        <v>5757.2</v>
      </c>
      <c r="H18" s="4" t="n">
        <f aca="false">G18*3*1.18</f>
        <v>20380.488</v>
      </c>
    </row>
    <row r="19" customFormat="false" ht="15" hidden="false" customHeight="false" outlineLevel="0" collapsed="false">
      <c r="A19" s="0" t="n">
        <v>16</v>
      </c>
      <c r="B19" s="6" t="n">
        <v>46056</v>
      </c>
      <c r="C19" s="3" t="s">
        <v>41</v>
      </c>
      <c r="D19" s="3" t="s">
        <v>594</v>
      </c>
      <c r="E19" s="0" t="n">
        <v>345</v>
      </c>
      <c r="F19" s="0" t="n">
        <v>3696.4</v>
      </c>
      <c r="G19" s="0" t="n">
        <v>3696.8</v>
      </c>
      <c r="H19" s="4" t="n">
        <f aca="false">G19*2.05*1.18</f>
        <v>8942.5592</v>
      </c>
    </row>
    <row r="20" customFormat="false" ht="15" hidden="false" customHeight="false" outlineLevel="0" collapsed="false">
      <c r="A20" s="0" t="n">
        <v>17</v>
      </c>
      <c r="B20" s="6" t="n">
        <v>46056</v>
      </c>
      <c r="C20" s="3" t="s">
        <v>41</v>
      </c>
      <c r="D20" s="3" t="s">
        <v>595</v>
      </c>
      <c r="E20" s="0" t="n">
        <v>345</v>
      </c>
      <c r="F20" s="0" t="n">
        <v>3696.4</v>
      </c>
      <c r="G20" s="0" t="n">
        <v>3696.8</v>
      </c>
      <c r="H20" s="4" t="n">
        <f aca="false">G20*3.1*1.18</f>
        <v>13522.8944</v>
      </c>
    </row>
    <row r="21" customFormat="false" ht="15" hidden="false" customHeight="false" outlineLevel="0" collapsed="false">
      <c r="A21" s="0" t="n">
        <v>18</v>
      </c>
      <c r="B21" s="6" t="n">
        <v>46056</v>
      </c>
      <c r="C21" s="3" t="s">
        <v>41</v>
      </c>
      <c r="D21" s="3" t="s">
        <v>596</v>
      </c>
      <c r="E21" s="0" t="n">
        <v>345</v>
      </c>
      <c r="F21" s="0" t="n">
        <v>3696.4</v>
      </c>
      <c r="G21" s="0" t="n">
        <v>3696.8</v>
      </c>
      <c r="H21" s="4" t="n">
        <f aca="false">G21*3*1.18</f>
        <v>13086.672</v>
      </c>
    </row>
    <row r="22" customFormat="false" ht="15" hidden="false" customHeight="false" outlineLevel="0" collapsed="false">
      <c r="A22" s="0" t="n">
        <v>19</v>
      </c>
      <c r="B22" s="6" t="n">
        <v>46057</v>
      </c>
      <c r="C22" s="3" t="s">
        <v>29</v>
      </c>
      <c r="D22" s="3" t="s">
        <v>594</v>
      </c>
      <c r="E22" s="0" t="n">
        <v>57</v>
      </c>
      <c r="F22" s="0" t="n">
        <v>2686.6</v>
      </c>
      <c r="G22" s="0" t="n">
        <v>3756.5</v>
      </c>
      <c r="H22" s="4" t="n">
        <f aca="false">G22*2.05*1.18</f>
        <v>9086.9735</v>
      </c>
    </row>
    <row r="23" customFormat="false" ht="15" hidden="false" customHeight="false" outlineLevel="0" collapsed="false">
      <c r="A23" s="0" t="n">
        <v>20</v>
      </c>
      <c r="B23" s="6" t="n">
        <v>46057</v>
      </c>
      <c r="C23" s="3" t="s">
        <v>29</v>
      </c>
      <c r="D23" s="3" t="s">
        <v>595</v>
      </c>
      <c r="E23" s="0" t="n">
        <v>57</v>
      </c>
      <c r="F23" s="0" t="n">
        <v>2686.6</v>
      </c>
      <c r="G23" s="0" t="n">
        <v>3756.5</v>
      </c>
      <c r="H23" s="4" t="n">
        <f aca="false">G23*3.1*1.18</f>
        <v>13741.277</v>
      </c>
    </row>
    <row r="24" customFormat="false" ht="15" hidden="false" customHeight="false" outlineLevel="0" collapsed="false">
      <c r="A24" s="0" t="n">
        <v>21</v>
      </c>
      <c r="B24" s="6" t="n">
        <v>46057</v>
      </c>
      <c r="C24" s="3" t="s">
        <v>29</v>
      </c>
      <c r="D24" s="3" t="s">
        <v>596</v>
      </c>
      <c r="E24" s="0" t="n">
        <v>57</v>
      </c>
      <c r="F24" s="0" t="n">
        <v>2686.6</v>
      </c>
      <c r="G24" s="0" t="n">
        <v>3756.5</v>
      </c>
      <c r="H24" s="4" t="n">
        <f aca="false">G24*3*1.18</f>
        <v>13298.01</v>
      </c>
    </row>
    <row r="25" customFormat="false" ht="15" hidden="false" customHeight="false" outlineLevel="0" collapsed="false">
      <c r="A25" s="0" t="n">
        <v>22</v>
      </c>
      <c r="B25" s="6" t="n">
        <v>46058</v>
      </c>
      <c r="C25" s="3" t="s">
        <v>29</v>
      </c>
      <c r="D25" s="3" t="s">
        <v>594</v>
      </c>
      <c r="E25" s="0" t="n">
        <v>328</v>
      </c>
      <c r="F25" s="0" t="n">
        <v>6014.9</v>
      </c>
      <c r="G25" s="0" t="n">
        <v>8200.7</v>
      </c>
      <c r="H25" s="4" t="n">
        <f aca="false">G25*2.05*1.18</f>
        <v>19837.4933</v>
      </c>
    </row>
    <row r="26" customFormat="false" ht="15" hidden="false" customHeight="false" outlineLevel="0" collapsed="false">
      <c r="A26" s="0" t="n">
        <v>23</v>
      </c>
      <c r="B26" s="6" t="n">
        <v>46058</v>
      </c>
      <c r="C26" s="3" t="s">
        <v>29</v>
      </c>
      <c r="D26" s="3" t="s">
        <v>595</v>
      </c>
      <c r="E26" s="0" t="n">
        <v>328</v>
      </c>
      <c r="F26" s="0" t="n">
        <v>6014.9</v>
      </c>
      <c r="G26" s="0" t="n">
        <v>8200.7</v>
      </c>
      <c r="H26" s="4" t="n">
        <f aca="false">G26*3.1*1.18</f>
        <v>29998.1606</v>
      </c>
    </row>
    <row r="27" customFormat="false" ht="15" hidden="false" customHeight="false" outlineLevel="0" collapsed="false">
      <c r="A27" s="0" t="n">
        <v>24</v>
      </c>
      <c r="B27" s="6" t="n">
        <v>46058</v>
      </c>
      <c r="C27" s="3" t="s">
        <v>29</v>
      </c>
      <c r="D27" s="3" t="s">
        <v>596</v>
      </c>
      <c r="E27" s="0" t="n">
        <v>328</v>
      </c>
      <c r="F27" s="0" t="n">
        <v>6014.9</v>
      </c>
      <c r="G27" s="0" t="n">
        <v>8200.7</v>
      </c>
      <c r="H27" s="4" t="n">
        <f aca="false">G27*3*1.18</f>
        <v>29030.478</v>
      </c>
    </row>
    <row r="28" customFormat="false" ht="15" hidden="false" customHeight="false" outlineLevel="0" collapsed="false">
      <c r="A28" s="0" t="n">
        <v>25</v>
      </c>
      <c r="B28" s="6" t="n">
        <v>46058</v>
      </c>
      <c r="C28" s="3" t="s">
        <v>41</v>
      </c>
      <c r="D28" s="3" t="s">
        <v>594</v>
      </c>
      <c r="E28" s="0" t="n">
        <v>268</v>
      </c>
      <c r="F28" s="0" t="n">
        <v>7142.5</v>
      </c>
      <c r="G28" s="0" t="n">
        <v>8290.5</v>
      </c>
      <c r="H28" s="4" t="n">
        <f aca="false">G28*2.05*1.18</f>
        <v>20054.7195</v>
      </c>
    </row>
    <row r="29" customFormat="false" ht="15" hidden="false" customHeight="false" outlineLevel="0" collapsed="false">
      <c r="A29" s="0" t="n">
        <v>26</v>
      </c>
      <c r="B29" s="6" t="n">
        <v>46058</v>
      </c>
      <c r="C29" s="3" t="s">
        <v>41</v>
      </c>
      <c r="D29" s="3" t="s">
        <v>595</v>
      </c>
      <c r="E29" s="0" t="n">
        <v>268</v>
      </c>
      <c r="F29" s="0" t="n">
        <v>7142.5</v>
      </c>
      <c r="G29" s="0" t="n">
        <v>8290.5</v>
      </c>
      <c r="H29" s="4" t="n">
        <f aca="false">G29*3.1*1.18</f>
        <v>30326.649</v>
      </c>
    </row>
    <row r="30" customFormat="false" ht="15" hidden="false" customHeight="false" outlineLevel="0" collapsed="false">
      <c r="A30" s="0" t="n">
        <v>27</v>
      </c>
      <c r="B30" s="6" t="n">
        <v>46058</v>
      </c>
      <c r="C30" s="3" t="s">
        <v>41</v>
      </c>
      <c r="D30" s="3" t="s">
        <v>596</v>
      </c>
      <c r="E30" s="0" t="n">
        <v>268</v>
      </c>
      <c r="F30" s="0" t="n">
        <v>7142.5</v>
      </c>
      <c r="G30" s="0" t="n">
        <v>8290.5</v>
      </c>
      <c r="H30" s="4" t="n">
        <f aca="false">G30*3*1.18</f>
        <v>29348.37</v>
      </c>
    </row>
    <row r="31" customFormat="false" ht="15" hidden="false" customHeight="false" outlineLevel="0" collapsed="false">
      <c r="A31" s="0" t="n">
        <v>28</v>
      </c>
      <c r="B31" s="6" t="n">
        <v>46059</v>
      </c>
      <c r="C31" s="3" t="s">
        <v>29</v>
      </c>
      <c r="D31" s="3" t="s">
        <v>594</v>
      </c>
      <c r="E31" s="0" t="n">
        <v>179</v>
      </c>
      <c r="F31" s="0" t="n">
        <v>2609.5</v>
      </c>
      <c r="G31" s="0" t="n">
        <v>3323.7</v>
      </c>
      <c r="H31" s="4" t="n">
        <f aca="false">G31*2.05*1.18</f>
        <v>8040.0303</v>
      </c>
    </row>
    <row r="32" customFormat="false" ht="15" hidden="false" customHeight="false" outlineLevel="0" collapsed="false">
      <c r="A32" s="0" t="n">
        <v>29</v>
      </c>
      <c r="B32" s="6" t="n">
        <v>46059</v>
      </c>
      <c r="C32" s="3" t="s">
        <v>29</v>
      </c>
      <c r="D32" s="3" t="s">
        <v>595</v>
      </c>
      <c r="E32" s="0" t="n">
        <v>179</v>
      </c>
      <c r="F32" s="0" t="n">
        <v>2609.5</v>
      </c>
      <c r="G32" s="0" t="n">
        <v>3323.7</v>
      </c>
      <c r="H32" s="4" t="n">
        <f aca="false">G32*3.1*1.18</f>
        <v>12158.0946</v>
      </c>
    </row>
    <row r="33" customFormat="false" ht="15" hidden="false" customHeight="false" outlineLevel="0" collapsed="false">
      <c r="A33" s="0" t="n">
        <v>30</v>
      </c>
      <c r="B33" s="6" t="n">
        <v>46059</v>
      </c>
      <c r="C33" s="3" t="s">
        <v>29</v>
      </c>
      <c r="D33" s="3" t="s">
        <v>596</v>
      </c>
      <c r="E33" s="0" t="n">
        <v>179</v>
      </c>
      <c r="F33" s="0" t="n">
        <v>2609.5</v>
      </c>
      <c r="G33" s="0" t="n">
        <v>3323.7</v>
      </c>
      <c r="H33" s="4" t="n">
        <f aca="false">G33*3*1.18</f>
        <v>11765.898</v>
      </c>
    </row>
    <row r="34" customFormat="false" ht="15" hidden="false" customHeight="false" outlineLevel="0" collapsed="false">
      <c r="A34" s="0" t="n">
        <v>31</v>
      </c>
      <c r="B34" s="6" t="n">
        <v>46059</v>
      </c>
      <c r="C34" s="3" t="s">
        <v>41</v>
      </c>
      <c r="D34" s="3" t="s">
        <v>594</v>
      </c>
      <c r="E34" s="0" t="n">
        <v>188</v>
      </c>
      <c r="F34" s="0" t="n">
        <v>881.2</v>
      </c>
      <c r="G34" s="0" t="n">
        <v>1145.7</v>
      </c>
      <c r="H34" s="4" t="n">
        <f aca="false">G34*2.05*1.18</f>
        <v>2771.4483</v>
      </c>
    </row>
    <row r="35" customFormat="false" ht="15" hidden="false" customHeight="false" outlineLevel="0" collapsed="false">
      <c r="A35" s="0" t="n">
        <v>32</v>
      </c>
      <c r="B35" s="6" t="n">
        <v>46059</v>
      </c>
      <c r="C35" s="3" t="s">
        <v>41</v>
      </c>
      <c r="D35" s="3" t="s">
        <v>595</v>
      </c>
      <c r="E35" s="0" t="n">
        <v>188</v>
      </c>
      <c r="F35" s="0" t="n">
        <v>881.2</v>
      </c>
      <c r="G35" s="0" t="n">
        <v>1145.7</v>
      </c>
      <c r="H35" s="4" t="n">
        <f aca="false">G35*3.1*1.18</f>
        <v>4190.9706</v>
      </c>
    </row>
    <row r="36" customFormat="false" ht="15" hidden="false" customHeight="false" outlineLevel="0" collapsed="false">
      <c r="A36" s="0" t="n">
        <v>33</v>
      </c>
      <c r="B36" s="6" t="n">
        <v>46059</v>
      </c>
      <c r="C36" s="3" t="s">
        <v>41</v>
      </c>
      <c r="D36" s="3" t="s">
        <v>596</v>
      </c>
      <c r="E36" s="0" t="n">
        <v>188</v>
      </c>
      <c r="F36" s="0" t="n">
        <v>881.2</v>
      </c>
      <c r="G36" s="0" t="n">
        <v>1145.7</v>
      </c>
      <c r="H36" s="4" t="n">
        <f aca="false">G36*3*1.18</f>
        <v>4055.778</v>
      </c>
    </row>
    <row r="37" customFormat="false" ht="15" hidden="false" customHeight="false" outlineLevel="0" collapsed="false">
      <c r="A37" s="0" t="n">
        <v>34</v>
      </c>
      <c r="B37" s="6" t="n">
        <v>46060</v>
      </c>
      <c r="C37" s="3" t="s">
        <v>29</v>
      </c>
      <c r="D37" s="3" t="s">
        <v>594</v>
      </c>
      <c r="E37" s="0" t="n">
        <v>28</v>
      </c>
      <c r="F37" s="0" t="n">
        <v>1602.5</v>
      </c>
      <c r="G37" s="0" t="n">
        <v>2083.7</v>
      </c>
      <c r="H37" s="4" t="n">
        <f aca="false">G37*2.05*1.18</f>
        <v>5040.4703</v>
      </c>
    </row>
    <row r="38" customFormat="false" ht="15" hidden="false" customHeight="false" outlineLevel="0" collapsed="false">
      <c r="A38" s="0" t="n">
        <v>35</v>
      </c>
      <c r="B38" s="6" t="n">
        <v>46060</v>
      </c>
      <c r="C38" s="3" t="s">
        <v>29</v>
      </c>
      <c r="D38" s="3" t="s">
        <v>595</v>
      </c>
      <c r="E38" s="0" t="n">
        <v>28</v>
      </c>
      <c r="F38" s="0" t="n">
        <v>1602.5</v>
      </c>
      <c r="G38" s="0" t="n">
        <v>2083.7</v>
      </c>
      <c r="H38" s="4" t="n">
        <f aca="false">G38*3.1*1.18</f>
        <v>7622.1746</v>
      </c>
    </row>
    <row r="39" customFormat="false" ht="15" hidden="false" customHeight="false" outlineLevel="0" collapsed="false">
      <c r="A39" s="0" t="n">
        <v>36</v>
      </c>
      <c r="B39" s="6" t="n">
        <v>46060</v>
      </c>
      <c r="C39" s="3" t="s">
        <v>29</v>
      </c>
      <c r="D39" s="3" t="s">
        <v>596</v>
      </c>
      <c r="E39" s="0" t="n">
        <v>28</v>
      </c>
      <c r="F39" s="0" t="n">
        <v>1602.5</v>
      </c>
      <c r="G39" s="0" t="n">
        <v>2083.7</v>
      </c>
      <c r="H39" s="4" t="n">
        <f aca="false">G39*3*1.18</f>
        <v>7376.298</v>
      </c>
    </row>
    <row r="40" customFormat="false" ht="15" hidden="false" customHeight="false" outlineLevel="0" collapsed="false">
      <c r="A40" s="0" t="n">
        <v>37</v>
      </c>
      <c r="B40" s="6" t="n">
        <v>46060</v>
      </c>
      <c r="C40" s="3" t="s">
        <v>41</v>
      </c>
      <c r="D40" s="3" t="s">
        <v>594</v>
      </c>
      <c r="E40" s="0" t="n">
        <v>537</v>
      </c>
      <c r="F40" s="0" t="n">
        <v>3192.7</v>
      </c>
      <c r="G40" s="0" t="n">
        <v>3275.4</v>
      </c>
      <c r="H40" s="4" t="n">
        <f aca="false">G40*2.05*1.18</f>
        <v>7923.1926</v>
      </c>
    </row>
    <row r="41" customFormat="false" ht="15" hidden="false" customHeight="false" outlineLevel="0" collapsed="false">
      <c r="A41" s="0" t="n">
        <v>38</v>
      </c>
      <c r="B41" s="6" t="n">
        <v>46060</v>
      </c>
      <c r="C41" s="3" t="s">
        <v>41</v>
      </c>
      <c r="D41" s="3" t="s">
        <v>595</v>
      </c>
      <c r="E41" s="0" t="n">
        <v>537</v>
      </c>
      <c r="F41" s="0" t="n">
        <v>3192.7</v>
      </c>
      <c r="G41" s="0" t="n">
        <v>3275.4</v>
      </c>
      <c r="H41" s="4" t="n">
        <f aca="false">G41*3.1*1.18</f>
        <v>11981.4132</v>
      </c>
    </row>
    <row r="42" customFormat="false" ht="15" hidden="false" customHeight="false" outlineLevel="0" collapsed="false">
      <c r="A42" s="0" t="n">
        <v>39</v>
      </c>
      <c r="B42" s="6" t="n">
        <v>46060</v>
      </c>
      <c r="C42" s="3" t="s">
        <v>41</v>
      </c>
      <c r="D42" s="3" t="s">
        <v>596</v>
      </c>
      <c r="E42" s="0" t="n">
        <v>537</v>
      </c>
      <c r="F42" s="0" t="n">
        <v>3192.7</v>
      </c>
      <c r="G42" s="0" t="n">
        <v>3275.4</v>
      </c>
      <c r="H42" s="4" t="n">
        <f aca="false">G42*3*1.18</f>
        <v>11594.916</v>
      </c>
    </row>
    <row r="43" customFormat="false" ht="15" hidden="false" customHeight="false" outlineLevel="0" collapsed="false">
      <c r="A43" s="0" t="n">
        <v>40</v>
      </c>
      <c r="B43" s="6" t="n">
        <v>46061</v>
      </c>
      <c r="C43" s="3" t="s">
        <v>29</v>
      </c>
      <c r="D43" s="3" t="s">
        <v>594</v>
      </c>
      <c r="E43" s="0" t="n">
        <v>198</v>
      </c>
      <c r="F43" s="0" t="n">
        <v>3055.7</v>
      </c>
      <c r="G43" s="0" t="n">
        <v>3056</v>
      </c>
      <c r="H43" s="4" t="n">
        <f aca="false">G43*2.05*1.18</f>
        <v>7392.464</v>
      </c>
    </row>
    <row r="44" customFormat="false" ht="15" hidden="false" customHeight="false" outlineLevel="0" collapsed="false">
      <c r="A44" s="0" t="n">
        <v>41</v>
      </c>
      <c r="B44" s="6" t="n">
        <v>46061</v>
      </c>
      <c r="C44" s="3" t="s">
        <v>29</v>
      </c>
      <c r="D44" s="3" t="s">
        <v>595</v>
      </c>
      <c r="E44" s="0" t="n">
        <v>198</v>
      </c>
      <c r="F44" s="0" t="n">
        <v>3055.7</v>
      </c>
      <c r="G44" s="0" t="n">
        <v>3056</v>
      </c>
      <c r="H44" s="4" t="n">
        <f aca="false">G44*3.1*1.18</f>
        <v>11178.848</v>
      </c>
    </row>
    <row r="45" customFormat="false" ht="15" hidden="false" customHeight="false" outlineLevel="0" collapsed="false">
      <c r="A45" s="0" t="n">
        <v>42</v>
      </c>
      <c r="B45" s="6" t="n">
        <v>46061</v>
      </c>
      <c r="C45" s="3" t="s">
        <v>29</v>
      </c>
      <c r="D45" s="3" t="s">
        <v>596</v>
      </c>
      <c r="E45" s="0" t="n">
        <v>198</v>
      </c>
      <c r="F45" s="0" t="n">
        <v>3055.7</v>
      </c>
      <c r="G45" s="0" t="n">
        <v>3056</v>
      </c>
      <c r="H45" s="4" t="n">
        <f aca="false">G45*3*1.18</f>
        <v>10818.24</v>
      </c>
    </row>
    <row r="46" customFormat="false" ht="15" hidden="false" customHeight="false" outlineLevel="0" collapsed="false">
      <c r="D46" s="7" t="s">
        <v>597</v>
      </c>
      <c r="H46" s="8" t="n">
        <f aca="false">SUM(H4:H45)</f>
        <v>528864.7959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5" t="s">
        <v>596</v>
      </c>
    </row>
    <row r="3" customFormat="false" ht="23.85" hidden="false" customHeight="false" outlineLevel="0" collapsed="false">
      <c r="A3" s="1" t="s">
        <v>0</v>
      </c>
      <c r="B3" s="1" t="s">
        <v>1</v>
      </c>
      <c r="C3" s="1" t="s">
        <v>598</v>
      </c>
      <c r="D3" s="1" t="s">
        <v>6</v>
      </c>
      <c r="E3" s="1" t="s">
        <v>8</v>
      </c>
      <c r="F3" s="1" t="s">
        <v>599</v>
      </c>
      <c r="G3" s="1" t="s">
        <v>600</v>
      </c>
      <c r="H3" s="1" t="s">
        <v>16</v>
      </c>
      <c r="I3" s="1" t="s">
        <v>601</v>
      </c>
      <c r="J3" s="1" t="s">
        <v>602</v>
      </c>
      <c r="K3" s="1" t="s">
        <v>26</v>
      </c>
      <c r="L3" s="1" t="s">
        <v>603</v>
      </c>
      <c r="M3" s="1" t="s">
        <v>604</v>
      </c>
      <c r="N3" s="1" t="s">
        <v>605</v>
      </c>
    </row>
    <row r="4" customFormat="false" ht="15" hidden="false" customHeight="false" outlineLevel="0" collapsed="false">
      <c r="A4" s="0" t="s">
        <v>29</v>
      </c>
      <c r="B4" s="6" t="n">
        <v>46054</v>
      </c>
      <c r="C4" s="3" t="s">
        <v>30</v>
      </c>
      <c r="D4" s="0" t="n">
        <v>105</v>
      </c>
      <c r="E4" s="0" t="n">
        <v>2240.84</v>
      </c>
      <c r="F4" s="6" t="n">
        <v>46052</v>
      </c>
      <c r="G4" s="3" t="s">
        <v>36</v>
      </c>
      <c r="H4" s="6" t="n">
        <v>46054</v>
      </c>
      <c r="I4" s="3" t="s">
        <v>38</v>
      </c>
      <c r="J4" s="3" t="s">
        <v>40</v>
      </c>
      <c r="K4" s="0" t="n">
        <v>3</v>
      </c>
      <c r="L4" s="0" t="n">
        <v>1</v>
      </c>
      <c r="M4" s="4" t="n">
        <f aca="false">E4*K4*L4</f>
        <v>6722.52</v>
      </c>
      <c r="N4" s="4" t="n">
        <f aca="false">M4*1.18</f>
        <v>7932.5736</v>
      </c>
    </row>
    <row r="5" customFormat="false" ht="15" hidden="false" customHeight="false" outlineLevel="0" collapsed="false">
      <c r="A5" s="0" t="s">
        <v>41</v>
      </c>
      <c r="B5" s="6" t="n">
        <v>46054</v>
      </c>
      <c r="C5" s="3" t="s">
        <v>42</v>
      </c>
      <c r="D5" s="0" t="n">
        <v>172</v>
      </c>
      <c r="E5" s="0" t="n">
        <v>399.08</v>
      </c>
      <c r="F5" s="6" t="n">
        <v>46051</v>
      </c>
      <c r="G5" s="3" t="s">
        <v>45</v>
      </c>
      <c r="H5" s="6" t="n">
        <v>46054</v>
      </c>
      <c r="I5" s="3" t="s">
        <v>47</v>
      </c>
      <c r="J5" s="3" t="s">
        <v>40</v>
      </c>
      <c r="K5" s="0" t="n">
        <v>3</v>
      </c>
      <c r="L5" s="0" t="n">
        <v>2</v>
      </c>
      <c r="M5" s="4" t="n">
        <f aca="false">E5*K5*L5</f>
        <v>2394.48</v>
      </c>
      <c r="N5" s="4" t="n">
        <f aca="false">M5*1.18</f>
        <v>2825.4864</v>
      </c>
    </row>
    <row r="6" customFormat="false" ht="15" hidden="false" customHeight="false" outlineLevel="0" collapsed="false">
      <c r="A6" s="0" t="s">
        <v>41</v>
      </c>
      <c r="B6" s="6" t="n">
        <v>46054</v>
      </c>
      <c r="C6" s="3" t="s">
        <v>49</v>
      </c>
      <c r="D6" s="0" t="n">
        <v>3</v>
      </c>
      <c r="E6" s="0" t="n">
        <v>282.98</v>
      </c>
      <c r="F6" s="6" t="n">
        <v>46053</v>
      </c>
      <c r="G6" s="3" t="s">
        <v>54</v>
      </c>
      <c r="H6" s="6" t="n">
        <v>46054</v>
      </c>
      <c r="I6" s="3" t="s">
        <v>56</v>
      </c>
      <c r="J6" s="3" t="s">
        <v>40</v>
      </c>
      <c r="K6" s="0" t="n">
        <v>3</v>
      </c>
      <c r="L6" s="0" t="n">
        <v>4</v>
      </c>
      <c r="M6" s="4" t="n">
        <f aca="false">E6*K6*L6</f>
        <v>3395.76</v>
      </c>
      <c r="N6" s="4" t="n">
        <f aca="false">M6*1.18</f>
        <v>4006.9968</v>
      </c>
    </row>
    <row r="7" customFormat="false" ht="15" hidden="false" customHeight="false" outlineLevel="0" collapsed="false">
      <c r="A7" s="0" t="s">
        <v>29</v>
      </c>
      <c r="B7" s="6" t="n">
        <v>46055</v>
      </c>
      <c r="C7" s="3" t="s">
        <v>63</v>
      </c>
      <c r="D7" s="0" t="n">
        <v>209</v>
      </c>
      <c r="E7" s="0" t="n">
        <v>1681.85</v>
      </c>
      <c r="F7" s="6" t="n">
        <v>46054</v>
      </c>
      <c r="G7" s="3" t="s">
        <v>66</v>
      </c>
      <c r="H7" s="6" t="n">
        <v>46055</v>
      </c>
      <c r="I7" s="3" t="s">
        <v>68</v>
      </c>
      <c r="J7" s="3" t="s">
        <v>40</v>
      </c>
      <c r="K7" s="0" t="n">
        <v>3</v>
      </c>
      <c r="L7" s="0" t="n">
        <v>1</v>
      </c>
      <c r="M7" s="4" t="n">
        <f aca="false">E7*K7*L7</f>
        <v>5045.55</v>
      </c>
      <c r="N7" s="4" t="n">
        <f aca="false">M7*1.18</f>
        <v>5953.749</v>
      </c>
    </row>
    <row r="8" customFormat="false" ht="15" hidden="false" customHeight="false" outlineLevel="0" collapsed="false">
      <c r="A8" s="0" t="s">
        <v>41</v>
      </c>
      <c r="B8" s="6" t="n">
        <v>46055</v>
      </c>
      <c r="C8" s="3" t="s">
        <v>70</v>
      </c>
      <c r="D8" s="0" t="n">
        <v>105</v>
      </c>
      <c r="E8" s="0" t="n">
        <v>2275.54</v>
      </c>
      <c r="F8" s="6" t="n">
        <v>46053</v>
      </c>
      <c r="G8" s="3" t="s">
        <v>73</v>
      </c>
      <c r="H8" s="6" t="n">
        <v>46055</v>
      </c>
      <c r="I8" s="3" t="s">
        <v>75</v>
      </c>
      <c r="J8" s="3" t="s">
        <v>40</v>
      </c>
      <c r="K8" s="0" t="n">
        <v>3</v>
      </c>
      <c r="L8" s="0" t="n">
        <v>3</v>
      </c>
      <c r="M8" s="4" t="n">
        <f aca="false">E8*K8*L8</f>
        <v>20479.86</v>
      </c>
      <c r="N8" s="4" t="n">
        <f aca="false">M8*1.18</f>
        <v>24166.2348</v>
      </c>
    </row>
    <row r="9" customFormat="false" ht="15" hidden="false" customHeight="false" outlineLevel="0" collapsed="false">
      <c r="A9" s="0" t="s">
        <v>41</v>
      </c>
      <c r="B9" s="6" t="n">
        <v>46055</v>
      </c>
      <c r="C9" s="3" t="s">
        <v>77</v>
      </c>
      <c r="D9" s="0" t="n">
        <v>132</v>
      </c>
      <c r="E9" s="0" t="n">
        <v>3123.35</v>
      </c>
      <c r="F9" s="6" t="n">
        <v>46055</v>
      </c>
      <c r="G9" s="3" t="s">
        <v>80</v>
      </c>
      <c r="H9" s="6" t="n">
        <v>46055</v>
      </c>
      <c r="I9" s="3" t="s">
        <v>82</v>
      </c>
      <c r="J9" s="3" t="s">
        <v>40</v>
      </c>
      <c r="K9" s="0" t="n">
        <v>3</v>
      </c>
      <c r="L9" s="0" t="n">
        <v>1</v>
      </c>
      <c r="M9" s="4" t="n">
        <f aca="false">E9*K9*L9</f>
        <v>9370.05</v>
      </c>
      <c r="N9" s="4" t="n">
        <f aca="false">M9*1.18</f>
        <v>11056.659</v>
      </c>
    </row>
    <row r="10" customFormat="false" ht="15" hidden="false" customHeight="false" outlineLevel="0" collapsed="false">
      <c r="A10" s="0" t="s">
        <v>29</v>
      </c>
      <c r="B10" s="6" t="n">
        <v>46056</v>
      </c>
      <c r="C10" s="3" t="s">
        <v>84</v>
      </c>
      <c r="D10" s="0" t="n">
        <v>122</v>
      </c>
      <c r="E10" s="0" t="n">
        <v>3170.42</v>
      </c>
      <c r="F10" s="6" t="n">
        <v>46054</v>
      </c>
      <c r="G10" s="3" t="s">
        <v>88</v>
      </c>
      <c r="H10" s="6" t="n">
        <v>46056</v>
      </c>
      <c r="I10" s="3" t="s">
        <v>90</v>
      </c>
      <c r="J10" s="3" t="s">
        <v>92</v>
      </c>
      <c r="K10" s="0" t="n">
        <v>5</v>
      </c>
      <c r="L10" s="0" t="n">
        <v>2</v>
      </c>
      <c r="M10" s="4" t="n">
        <f aca="false">E10*K10*L10</f>
        <v>31704.2</v>
      </c>
      <c r="N10" s="4" t="n">
        <f aca="false">M10*1.18</f>
        <v>37410.956</v>
      </c>
    </row>
    <row r="11" customFormat="false" ht="15" hidden="false" customHeight="false" outlineLevel="0" collapsed="false">
      <c r="A11" s="0" t="s">
        <v>29</v>
      </c>
      <c r="B11" s="6" t="n">
        <v>46056</v>
      </c>
      <c r="C11" s="3" t="s">
        <v>93</v>
      </c>
      <c r="D11" s="0" t="n">
        <v>182</v>
      </c>
      <c r="E11" s="0" t="n">
        <v>2586.74</v>
      </c>
      <c r="F11" s="6" t="n">
        <v>46054</v>
      </c>
      <c r="G11" s="3" t="s">
        <v>96</v>
      </c>
      <c r="H11" s="6" t="n">
        <v>46056</v>
      </c>
      <c r="I11" s="3" t="s">
        <v>98</v>
      </c>
      <c r="J11" s="3" t="s">
        <v>100</v>
      </c>
      <c r="K11" s="0" t="n">
        <v>3</v>
      </c>
      <c r="L11" s="0" t="n">
        <v>1</v>
      </c>
      <c r="M11" s="4" t="n">
        <f aca="false">E11*K11*L11</f>
        <v>7760.22</v>
      </c>
      <c r="N11" s="4" t="n">
        <f aca="false">M11*1.18</f>
        <v>9157.0596</v>
      </c>
    </row>
    <row r="12" customFormat="false" ht="15" hidden="false" customHeight="false" outlineLevel="0" collapsed="false">
      <c r="A12" s="0" t="s">
        <v>29</v>
      </c>
      <c r="B12" s="6" t="n">
        <v>46057</v>
      </c>
      <c r="C12" s="3" t="s">
        <v>114</v>
      </c>
      <c r="D12" s="0" t="n">
        <v>40</v>
      </c>
      <c r="E12" s="0" t="n">
        <v>3208.04</v>
      </c>
      <c r="F12" s="6" t="n">
        <v>46054</v>
      </c>
      <c r="G12" s="3" t="s">
        <v>117</v>
      </c>
      <c r="H12" s="6" t="n">
        <v>46057</v>
      </c>
      <c r="I12" s="3" t="s">
        <v>119</v>
      </c>
      <c r="J12" s="3" t="s">
        <v>40</v>
      </c>
      <c r="K12" s="0" t="n">
        <v>3</v>
      </c>
      <c r="L12" s="0" t="n">
        <v>2</v>
      </c>
      <c r="M12" s="4" t="n">
        <f aca="false">E12*K12*L12</f>
        <v>19248.24</v>
      </c>
      <c r="N12" s="4" t="n">
        <f aca="false">M12*1.18</f>
        <v>22712.9232</v>
      </c>
    </row>
    <row r="13" customFormat="false" ht="15" hidden="false" customHeight="false" outlineLevel="0" collapsed="false">
      <c r="A13" s="0" t="s">
        <v>29</v>
      </c>
      <c r="B13" s="6" t="n">
        <v>46057</v>
      </c>
      <c r="C13" s="3" t="s">
        <v>120</v>
      </c>
      <c r="D13" s="0" t="n">
        <v>17</v>
      </c>
      <c r="E13" s="0" t="n">
        <v>548.47</v>
      </c>
      <c r="F13" s="6" t="n">
        <v>46054</v>
      </c>
      <c r="G13" s="3" t="s">
        <v>123</v>
      </c>
      <c r="H13" s="6" t="n">
        <v>46057</v>
      </c>
      <c r="I13" s="3" t="s">
        <v>125</v>
      </c>
      <c r="J13" s="3" t="s">
        <v>40</v>
      </c>
      <c r="K13" s="0" t="n">
        <v>3</v>
      </c>
      <c r="L13" s="0" t="n">
        <v>2</v>
      </c>
      <c r="M13" s="4" t="n">
        <f aca="false">E13*K13*L13</f>
        <v>3290.82</v>
      </c>
      <c r="N13" s="4" t="n">
        <f aca="false">M13*1.18</f>
        <v>3883.1676</v>
      </c>
    </row>
    <row r="14" customFormat="false" ht="15" hidden="false" customHeight="false" outlineLevel="0" collapsed="false">
      <c r="A14" s="0" t="s">
        <v>29</v>
      </c>
      <c r="B14" s="6" t="n">
        <v>46058</v>
      </c>
      <c r="C14" s="3" t="s">
        <v>126</v>
      </c>
      <c r="D14" s="0" t="n">
        <v>207</v>
      </c>
      <c r="E14" s="0" t="n">
        <v>3640.13</v>
      </c>
      <c r="F14" s="6" t="n">
        <v>46055</v>
      </c>
      <c r="G14" s="3" t="s">
        <v>129</v>
      </c>
      <c r="H14" s="6" t="n">
        <v>46058</v>
      </c>
      <c r="I14" s="3" t="s">
        <v>131</v>
      </c>
      <c r="J14" s="3" t="s">
        <v>40</v>
      </c>
      <c r="K14" s="0" t="n">
        <v>3</v>
      </c>
      <c r="L14" s="0" t="n">
        <v>4</v>
      </c>
      <c r="M14" s="4" t="n">
        <f aca="false">E14*K14*L14</f>
        <v>43681.56</v>
      </c>
      <c r="N14" s="4" t="n">
        <f aca="false">M14*1.18</f>
        <v>51544.2408</v>
      </c>
    </row>
    <row r="15" customFormat="false" ht="15" hidden="false" customHeight="false" outlineLevel="0" collapsed="false">
      <c r="A15" s="0" t="s">
        <v>29</v>
      </c>
      <c r="B15" s="6" t="n">
        <v>46058</v>
      </c>
      <c r="C15" s="3" t="s">
        <v>132</v>
      </c>
      <c r="D15" s="0" t="n">
        <v>81</v>
      </c>
      <c r="E15" s="0" t="n">
        <v>720.16</v>
      </c>
      <c r="F15" s="6" t="n">
        <v>46058</v>
      </c>
      <c r="G15" s="3" t="s">
        <v>135</v>
      </c>
      <c r="H15" s="6" t="n">
        <v>46058</v>
      </c>
      <c r="I15" s="3" t="s">
        <v>137</v>
      </c>
      <c r="J15" s="3" t="s">
        <v>40</v>
      </c>
      <c r="K15" s="0" t="n">
        <v>3</v>
      </c>
      <c r="L15" s="0" t="n">
        <v>1</v>
      </c>
      <c r="M15" s="4" t="n">
        <f aca="false">E15*K15*L15</f>
        <v>2160.48</v>
      </c>
      <c r="N15" s="4" t="n">
        <f aca="false">M15*1.18</f>
        <v>2549.3664</v>
      </c>
    </row>
    <row r="16" customFormat="false" ht="15" hidden="false" customHeight="false" outlineLevel="0" collapsed="false">
      <c r="A16" s="0" t="s">
        <v>29</v>
      </c>
      <c r="B16" s="6" t="n">
        <v>46058</v>
      </c>
      <c r="C16" s="3" t="s">
        <v>138</v>
      </c>
      <c r="D16" s="0" t="n">
        <v>40</v>
      </c>
      <c r="E16" s="0" t="n">
        <v>3840.39</v>
      </c>
      <c r="F16" s="6" t="n">
        <v>46057</v>
      </c>
      <c r="G16" s="3" t="s">
        <v>140</v>
      </c>
      <c r="H16" s="6" t="n">
        <v>46058</v>
      </c>
      <c r="I16" s="3" t="s">
        <v>142</v>
      </c>
      <c r="J16" s="3" t="s">
        <v>144</v>
      </c>
      <c r="K16" s="0" t="n">
        <v>5</v>
      </c>
      <c r="L16" s="0" t="n">
        <v>2</v>
      </c>
      <c r="M16" s="4" t="n">
        <f aca="false">E16*K16*L16</f>
        <v>38403.9</v>
      </c>
      <c r="N16" s="4" t="n">
        <f aca="false">M16*1.18</f>
        <v>45316.602</v>
      </c>
    </row>
    <row r="17" customFormat="false" ht="15" hidden="false" customHeight="false" outlineLevel="0" collapsed="false">
      <c r="A17" s="0" t="s">
        <v>41</v>
      </c>
      <c r="B17" s="6" t="n">
        <v>46058</v>
      </c>
      <c r="C17" s="3" t="s">
        <v>145</v>
      </c>
      <c r="D17" s="0" t="n">
        <v>96</v>
      </c>
      <c r="E17" s="0" t="n">
        <v>2494.21</v>
      </c>
      <c r="F17" s="6" t="n">
        <v>46057</v>
      </c>
      <c r="G17" s="3" t="s">
        <v>148</v>
      </c>
      <c r="H17" s="6" t="n">
        <v>46058</v>
      </c>
      <c r="I17" s="3" t="s">
        <v>150</v>
      </c>
      <c r="J17" s="3" t="s">
        <v>151</v>
      </c>
      <c r="K17" s="0" t="n">
        <v>3</v>
      </c>
      <c r="L17" s="0" t="n">
        <v>2</v>
      </c>
      <c r="M17" s="4" t="n">
        <f aca="false">E17*K17*L17</f>
        <v>14965.26</v>
      </c>
      <c r="N17" s="4" t="n">
        <f aca="false">M17*1.18</f>
        <v>17659.0068</v>
      </c>
    </row>
    <row r="18" customFormat="false" ht="15" hidden="false" customHeight="false" outlineLevel="0" collapsed="false">
      <c r="A18" s="0" t="s">
        <v>41</v>
      </c>
      <c r="B18" s="6" t="n">
        <v>46058</v>
      </c>
      <c r="C18" s="3" t="s">
        <v>152</v>
      </c>
      <c r="D18" s="0" t="n">
        <v>42</v>
      </c>
      <c r="E18" s="0" t="n">
        <v>1605.68</v>
      </c>
      <c r="F18" s="6" t="n">
        <v>46056</v>
      </c>
      <c r="G18" s="3" t="s">
        <v>155</v>
      </c>
      <c r="H18" s="6" t="n">
        <v>46058</v>
      </c>
      <c r="I18" s="3" t="s">
        <v>157</v>
      </c>
      <c r="J18" s="3" t="s">
        <v>40</v>
      </c>
      <c r="K18" s="0" t="n">
        <v>3</v>
      </c>
      <c r="L18" s="0" t="n">
        <v>1</v>
      </c>
      <c r="M18" s="4" t="n">
        <f aca="false">E18*K18*L18</f>
        <v>4817.04</v>
      </c>
      <c r="N18" s="4" t="n">
        <f aca="false">M18*1.18</f>
        <v>5684.1072</v>
      </c>
    </row>
    <row r="19" customFormat="false" ht="15" hidden="false" customHeight="false" outlineLevel="0" collapsed="false">
      <c r="A19" s="0" t="s">
        <v>41</v>
      </c>
      <c r="B19" s="6" t="n">
        <v>46058</v>
      </c>
      <c r="C19" s="3" t="s">
        <v>158</v>
      </c>
      <c r="D19" s="0" t="n">
        <v>108</v>
      </c>
      <c r="E19" s="0" t="n">
        <v>1755.4</v>
      </c>
      <c r="F19" s="6" t="n">
        <v>46057</v>
      </c>
      <c r="G19" s="3" t="s">
        <v>161</v>
      </c>
      <c r="H19" s="6" t="n">
        <v>46058</v>
      </c>
      <c r="I19" s="3" t="s">
        <v>163</v>
      </c>
      <c r="J19" s="3" t="s">
        <v>40</v>
      </c>
      <c r="K19" s="0" t="n">
        <v>3</v>
      </c>
      <c r="L19" s="0" t="n">
        <v>3</v>
      </c>
      <c r="M19" s="4" t="n">
        <f aca="false">E19*K19*L19</f>
        <v>15798.6</v>
      </c>
      <c r="N19" s="4" t="n">
        <f aca="false">M19*1.18</f>
        <v>18642.348</v>
      </c>
    </row>
    <row r="20" customFormat="false" ht="15" hidden="false" customHeight="false" outlineLevel="0" collapsed="false">
      <c r="A20" s="0" t="s">
        <v>41</v>
      </c>
      <c r="B20" s="6" t="n">
        <v>46058</v>
      </c>
      <c r="C20" s="3" t="s">
        <v>165</v>
      </c>
      <c r="D20" s="0" t="n">
        <v>22</v>
      </c>
      <c r="E20" s="0" t="n">
        <v>2435.25</v>
      </c>
      <c r="F20" s="6" t="n">
        <v>46056</v>
      </c>
      <c r="G20" s="3" t="s">
        <v>168</v>
      </c>
      <c r="H20" s="6" t="n">
        <v>46058</v>
      </c>
      <c r="I20" s="3" t="s">
        <v>170</v>
      </c>
      <c r="J20" s="3" t="s">
        <v>40</v>
      </c>
      <c r="K20" s="0" t="n">
        <v>3</v>
      </c>
      <c r="L20" s="0" t="n">
        <v>1</v>
      </c>
      <c r="M20" s="4" t="n">
        <f aca="false">E20*K20*L20</f>
        <v>7305.75</v>
      </c>
      <c r="N20" s="4" t="n">
        <f aca="false">M20*1.18</f>
        <v>8620.785</v>
      </c>
    </row>
    <row r="21" customFormat="false" ht="15" hidden="false" customHeight="false" outlineLevel="0" collapsed="false">
      <c r="A21" s="0" t="s">
        <v>29</v>
      </c>
      <c r="B21" s="6" t="n">
        <v>46059</v>
      </c>
      <c r="C21" s="3" t="s">
        <v>172</v>
      </c>
      <c r="D21" s="0" t="n">
        <v>65</v>
      </c>
      <c r="E21" s="0" t="n">
        <v>379.74</v>
      </c>
      <c r="F21" s="6" t="n">
        <v>46058</v>
      </c>
      <c r="G21" s="3" t="s">
        <v>175</v>
      </c>
      <c r="H21" s="6" t="n">
        <v>46059</v>
      </c>
      <c r="I21" s="3" t="s">
        <v>177</v>
      </c>
      <c r="J21" s="3" t="s">
        <v>40</v>
      </c>
      <c r="K21" s="0" t="n">
        <v>3</v>
      </c>
      <c r="L21" s="0" t="n">
        <v>1</v>
      </c>
      <c r="M21" s="4" t="n">
        <f aca="false">E21*K21*L21</f>
        <v>1139.22</v>
      </c>
      <c r="N21" s="4" t="n">
        <f aca="false">M21*1.18</f>
        <v>1344.2796</v>
      </c>
    </row>
    <row r="22" customFormat="false" ht="15" hidden="false" customHeight="false" outlineLevel="0" collapsed="false">
      <c r="A22" s="0" t="s">
        <v>29</v>
      </c>
      <c r="B22" s="6" t="n">
        <v>46059</v>
      </c>
      <c r="C22" s="3" t="s">
        <v>178</v>
      </c>
      <c r="D22" s="0" t="n">
        <v>114</v>
      </c>
      <c r="E22" s="0" t="n">
        <v>2943.92</v>
      </c>
      <c r="F22" s="6" t="n">
        <v>46057</v>
      </c>
      <c r="G22" s="3" t="s">
        <v>181</v>
      </c>
      <c r="H22" s="6" t="n">
        <v>46059</v>
      </c>
      <c r="I22" s="3" t="s">
        <v>183</v>
      </c>
      <c r="J22" s="3" t="s">
        <v>40</v>
      </c>
      <c r="K22" s="0" t="n">
        <v>3</v>
      </c>
      <c r="L22" s="0" t="n">
        <v>4</v>
      </c>
      <c r="M22" s="4" t="n">
        <f aca="false">E22*K22*L22</f>
        <v>35327.04</v>
      </c>
      <c r="N22" s="4" t="n">
        <f aca="false">M22*1.18</f>
        <v>41685.9072</v>
      </c>
    </row>
    <row r="23" customFormat="false" ht="15" hidden="false" customHeight="false" outlineLevel="0" collapsed="false">
      <c r="A23" s="0" t="s">
        <v>29</v>
      </c>
      <c r="B23" s="6" t="n">
        <v>46060</v>
      </c>
      <c r="C23" s="3" t="s">
        <v>190</v>
      </c>
      <c r="D23" s="0" t="n">
        <v>28</v>
      </c>
      <c r="E23" s="0" t="n">
        <v>2083.69</v>
      </c>
      <c r="F23" s="6" t="n">
        <v>46059</v>
      </c>
      <c r="G23" s="3" t="s">
        <v>193</v>
      </c>
      <c r="H23" s="6" t="n">
        <v>46060</v>
      </c>
      <c r="I23" s="3" t="s">
        <v>195</v>
      </c>
      <c r="J23" s="3" t="s">
        <v>40</v>
      </c>
      <c r="K23" s="0" t="n">
        <v>3</v>
      </c>
      <c r="L23" s="0" t="n">
        <v>2</v>
      </c>
      <c r="M23" s="4" t="n">
        <f aca="false">E23*K23*L23</f>
        <v>12502.14</v>
      </c>
      <c r="N23" s="4" t="n">
        <f aca="false">M23*1.18</f>
        <v>14752.5252</v>
      </c>
    </row>
    <row r="24" customFormat="false" ht="15" hidden="false" customHeight="false" outlineLevel="0" collapsed="false">
      <c r="A24" s="0" t="s">
        <v>41</v>
      </c>
      <c r="B24" s="6" t="n">
        <v>46060</v>
      </c>
      <c r="C24" s="3" t="s">
        <v>196</v>
      </c>
      <c r="D24" s="0" t="n">
        <v>184</v>
      </c>
      <c r="E24" s="0" t="n">
        <v>355.68</v>
      </c>
      <c r="F24" s="6" t="n">
        <v>46059</v>
      </c>
      <c r="G24" s="3" t="s">
        <v>198</v>
      </c>
      <c r="H24" s="6" t="n">
        <v>46060</v>
      </c>
      <c r="I24" s="3" t="s">
        <v>200</v>
      </c>
      <c r="J24" s="3" t="s">
        <v>40</v>
      </c>
      <c r="K24" s="0" t="n">
        <v>3</v>
      </c>
      <c r="L24" s="0" t="n">
        <v>3</v>
      </c>
      <c r="M24" s="4" t="n">
        <f aca="false">E24*K24*L24</f>
        <v>3201.12</v>
      </c>
      <c r="N24" s="4" t="n">
        <f aca="false">M24*1.18</f>
        <v>3777.3216</v>
      </c>
    </row>
    <row r="25" customFormat="false" ht="15" hidden="false" customHeight="false" outlineLevel="0" collapsed="false">
      <c r="A25" s="0" t="s">
        <v>41</v>
      </c>
      <c r="B25" s="6" t="n">
        <v>46060</v>
      </c>
      <c r="C25" s="3" t="s">
        <v>201</v>
      </c>
      <c r="D25" s="0" t="n">
        <v>158</v>
      </c>
      <c r="E25" s="0" t="n">
        <v>234.59</v>
      </c>
      <c r="F25" s="6" t="n">
        <v>46057</v>
      </c>
      <c r="G25" s="3" t="s">
        <v>204</v>
      </c>
      <c r="H25" s="6" t="n">
        <v>46060</v>
      </c>
      <c r="I25" s="3" t="s">
        <v>206</v>
      </c>
      <c r="J25" s="3" t="s">
        <v>40</v>
      </c>
      <c r="K25" s="0" t="n">
        <v>3</v>
      </c>
      <c r="L25" s="0" t="n">
        <v>1</v>
      </c>
      <c r="M25" s="4" t="n">
        <f aca="false">E25*K25*L25</f>
        <v>703.77</v>
      </c>
      <c r="N25" s="4" t="n">
        <f aca="false">M25*1.18</f>
        <v>830.4486</v>
      </c>
    </row>
    <row r="26" customFormat="false" ht="15" hidden="false" customHeight="false" outlineLevel="0" collapsed="false">
      <c r="A26" s="0" t="s">
        <v>41</v>
      </c>
      <c r="B26" s="6" t="n">
        <v>46060</v>
      </c>
      <c r="C26" s="3" t="s">
        <v>207</v>
      </c>
      <c r="D26" s="0" t="n">
        <v>195</v>
      </c>
      <c r="E26" s="0" t="n">
        <v>2685.09</v>
      </c>
      <c r="F26" s="6" t="n">
        <v>46059</v>
      </c>
      <c r="G26" s="3" t="s">
        <v>210</v>
      </c>
      <c r="H26" s="6" t="n">
        <v>46060</v>
      </c>
      <c r="I26" s="3" t="s">
        <v>212</v>
      </c>
      <c r="J26" s="3" t="s">
        <v>40</v>
      </c>
      <c r="K26" s="0" t="n">
        <v>3</v>
      </c>
      <c r="L26" s="0" t="n">
        <v>4</v>
      </c>
      <c r="M26" s="4" t="n">
        <f aca="false">E26*K26*L26</f>
        <v>32221.08</v>
      </c>
      <c r="N26" s="4" t="n">
        <f aca="false">M26*1.18</f>
        <v>38020.8744</v>
      </c>
    </row>
    <row r="27" customFormat="false" ht="15" hidden="false" customHeight="false" outlineLevel="0" collapsed="false">
      <c r="A27" s="0" t="s">
        <v>29</v>
      </c>
      <c r="B27" s="6" t="n">
        <v>46061</v>
      </c>
      <c r="C27" s="3" t="s">
        <v>213</v>
      </c>
      <c r="D27" s="0" t="n">
        <v>198</v>
      </c>
      <c r="E27" s="0" t="n">
        <v>3055.96</v>
      </c>
      <c r="F27" s="6" t="n">
        <v>46058</v>
      </c>
      <c r="G27" s="3" t="s">
        <v>216</v>
      </c>
      <c r="H27" s="6" t="n">
        <v>46061</v>
      </c>
      <c r="I27" s="3" t="s">
        <v>218</v>
      </c>
      <c r="J27" s="3" t="s">
        <v>40</v>
      </c>
      <c r="K27" s="0" t="n">
        <v>3</v>
      </c>
      <c r="L27" s="0" t="n">
        <v>2</v>
      </c>
      <c r="M27" s="4" t="n">
        <f aca="false">E27*K27*L27</f>
        <v>18335.76</v>
      </c>
      <c r="N27" s="4" t="n">
        <f aca="false">M27*1.18</f>
        <v>21636.1968</v>
      </c>
    </row>
    <row r="28" customFormat="false" ht="15" hidden="false" customHeight="false" outlineLevel="0" collapsed="false">
      <c r="A28" s="0" t="s">
        <v>41</v>
      </c>
      <c r="B28" s="6" t="n">
        <v>46061</v>
      </c>
      <c r="C28" s="3" t="s">
        <v>219</v>
      </c>
      <c r="D28" s="0" t="n">
        <v>99</v>
      </c>
      <c r="E28" s="0" t="n">
        <v>2596.4</v>
      </c>
      <c r="F28" s="6" t="n">
        <v>46058</v>
      </c>
      <c r="G28" s="3" t="s">
        <v>221</v>
      </c>
      <c r="H28" s="6" t="n">
        <v>46061</v>
      </c>
      <c r="I28" s="3" t="s">
        <v>223</v>
      </c>
      <c r="J28" s="3" t="s">
        <v>151</v>
      </c>
      <c r="K28" s="0" t="n">
        <v>3</v>
      </c>
      <c r="L28" s="0" t="n">
        <v>1</v>
      </c>
      <c r="M28" s="4" t="n">
        <f aca="false">E28*K28*L28</f>
        <v>7789.2</v>
      </c>
      <c r="N28" s="4" t="n">
        <f aca="false">M28*1.18</f>
        <v>9191.256</v>
      </c>
    </row>
    <row r="29" customFormat="false" ht="15" hidden="false" customHeight="false" outlineLevel="0" collapsed="false">
      <c r="A29" s="0" t="s">
        <v>41</v>
      </c>
      <c r="B29" s="6" t="n">
        <v>46061</v>
      </c>
      <c r="C29" s="3" t="s">
        <v>224</v>
      </c>
      <c r="D29" s="0" t="n">
        <v>98</v>
      </c>
      <c r="E29" s="0" t="n">
        <v>3672.82</v>
      </c>
      <c r="F29" s="6" t="n">
        <v>46059</v>
      </c>
      <c r="G29" s="3" t="s">
        <v>225</v>
      </c>
      <c r="H29" s="6" t="n">
        <v>46061</v>
      </c>
      <c r="I29" s="3" t="s">
        <v>227</v>
      </c>
      <c r="J29" s="3" t="s">
        <v>100</v>
      </c>
      <c r="K29" s="0" t="n">
        <v>3</v>
      </c>
      <c r="L29" s="0" t="n">
        <v>1</v>
      </c>
      <c r="M29" s="4" t="n">
        <f aca="false">E29*K29*L29</f>
        <v>11018.46</v>
      </c>
      <c r="N29" s="4" t="n">
        <f aca="false">M29*1.18</f>
        <v>13001.7828</v>
      </c>
    </row>
    <row r="30" customFormat="false" ht="15" hidden="false" customHeight="false" outlineLevel="0" collapsed="false">
      <c r="A30" s="0" t="s">
        <v>29</v>
      </c>
      <c r="B30" s="6" t="n">
        <v>46062</v>
      </c>
      <c r="C30" s="3" t="s">
        <v>229</v>
      </c>
      <c r="D30" s="0" t="n">
        <v>184</v>
      </c>
      <c r="E30" s="0" t="n">
        <v>2050.56</v>
      </c>
      <c r="F30" s="6" t="n">
        <v>46061</v>
      </c>
      <c r="G30" s="3" t="s">
        <v>232</v>
      </c>
      <c r="H30" s="6" t="n">
        <v>46062</v>
      </c>
      <c r="I30" s="3" t="s">
        <v>234</v>
      </c>
      <c r="J30" s="3" t="s">
        <v>40</v>
      </c>
      <c r="K30" s="0" t="n">
        <v>3</v>
      </c>
      <c r="L30" s="0" t="n">
        <v>2</v>
      </c>
      <c r="M30" s="4" t="n">
        <f aca="false">E30*K30*L30</f>
        <v>12303.36</v>
      </c>
      <c r="N30" s="4" t="n">
        <f aca="false">M30*1.18</f>
        <v>14517.9648</v>
      </c>
    </row>
    <row r="31" customFormat="false" ht="15" hidden="false" customHeight="false" outlineLevel="0" collapsed="false">
      <c r="A31" s="0" t="s">
        <v>29</v>
      </c>
      <c r="B31" s="6" t="n">
        <v>46062</v>
      </c>
      <c r="C31" s="3" t="s">
        <v>240</v>
      </c>
      <c r="D31" s="0" t="n">
        <v>215</v>
      </c>
      <c r="E31" s="0" t="n">
        <v>987.27</v>
      </c>
      <c r="F31" s="6" t="n">
        <v>46062</v>
      </c>
      <c r="G31" s="3" t="s">
        <v>243</v>
      </c>
      <c r="H31" s="6" t="n">
        <v>46062</v>
      </c>
      <c r="I31" s="3" t="s">
        <v>245</v>
      </c>
      <c r="J31" s="3" t="s">
        <v>40</v>
      </c>
      <c r="K31" s="0" t="n">
        <v>3</v>
      </c>
      <c r="L31" s="0" t="n">
        <v>3</v>
      </c>
      <c r="M31" s="4" t="n">
        <f aca="false">E31*K31*L31</f>
        <v>8885.43</v>
      </c>
      <c r="N31" s="4" t="n">
        <f aca="false">M31*1.18</f>
        <v>10484.8074</v>
      </c>
    </row>
    <row r="32" customFormat="false" ht="15" hidden="false" customHeight="false" outlineLevel="0" collapsed="false">
      <c r="A32" s="0" t="s">
        <v>41</v>
      </c>
      <c r="B32" s="6" t="n">
        <v>46062</v>
      </c>
      <c r="C32" s="3" t="s">
        <v>246</v>
      </c>
      <c r="D32" s="0" t="n">
        <v>26</v>
      </c>
      <c r="E32" s="0" t="n">
        <v>601.59</v>
      </c>
      <c r="F32" s="6" t="n">
        <v>46060</v>
      </c>
      <c r="G32" s="3" t="s">
        <v>248</v>
      </c>
      <c r="H32" s="6" t="n">
        <v>46062</v>
      </c>
      <c r="I32" s="3" t="s">
        <v>153</v>
      </c>
      <c r="J32" s="3" t="s">
        <v>151</v>
      </c>
      <c r="K32" s="0" t="n">
        <v>3</v>
      </c>
      <c r="L32" s="0" t="n">
        <v>2</v>
      </c>
      <c r="M32" s="4" t="n">
        <f aca="false">E32*K32*L32</f>
        <v>3609.54</v>
      </c>
      <c r="N32" s="4" t="n">
        <f aca="false">M32*1.18</f>
        <v>4259.2572</v>
      </c>
    </row>
    <row r="33" customFormat="false" ht="15" hidden="false" customHeight="false" outlineLevel="0" collapsed="false">
      <c r="A33" s="0" t="s">
        <v>29</v>
      </c>
      <c r="B33" s="6" t="n">
        <v>46063</v>
      </c>
      <c r="C33" s="3" t="s">
        <v>257</v>
      </c>
      <c r="D33" s="0" t="n">
        <v>194</v>
      </c>
      <c r="E33" s="0" t="n">
        <v>3066.89</v>
      </c>
      <c r="F33" s="6" t="n">
        <v>46062</v>
      </c>
      <c r="G33" s="3" t="s">
        <v>260</v>
      </c>
      <c r="H33" s="6" t="n">
        <v>46063</v>
      </c>
      <c r="I33" s="3" t="s">
        <v>128</v>
      </c>
      <c r="J33" s="3" t="s">
        <v>40</v>
      </c>
      <c r="K33" s="0" t="n">
        <v>3</v>
      </c>
      <c r="L33" s="0" t="n">
        <v>3</v>
      </c>
      <c r="M33" s="4" t="n">
        <f aca="false">E33*K33*L33</f>
        <v>27602.01</v>
      </c>
      <c r="N33" s="4" t="n">
        <f aca="false">M33*1.18</f>
        <v>32570.3718</v>
      </c>
    </row>
    <row r="34" customFormat="false" ht="15" hidden="false" customHeight="false" outlineLevel="0" collapsed="false">
      <c r="A34" s="0" t="s">
        <v>41</v>
      </c>
      <c r="B34" s="6" t="n">
        <v>46063</v>
      </c>
      <c r="C34" s="3" t="s">
        <v>268</v>
      </c>
      <c r="D34" s="0" t="n">
        <v>48</v>
      </c>
      <c r="E34" s="0" t="n">
        <v>2190.71</v>
      </c>
      <c r="F34" s="6" t="n">
        <v>46062</v>
      </c>
      <c r="G34" s="3" t="s">
        <v>271</v>
      </c>
      <c r="H34" s="6" t="n">
        <v>46063</v>
      </c>
      <c r="I34" s="3" t="s">
        <v>273</v>
      </c>
      <c r="J34" s="3" t="s">
        <v>40</v>
      </c>
      <c r="K34" s="0" t="n">
        <v>3</v>
      </c>
      <c r="L34" s="0" t="n">
        <v>2</v>
      </c>
      <c r="M34" s="4" t="n">
        <f aca="false">E34*K34*L34</f>
        <v>13144.26</v>
      </c>
      <c r="N34" s="4" t="n">
        <f aca="false">M34*1.18</f>
        <v>15510.2268</v>
      </c>
    </row>
    <row r="35" customFormat="false" ht="15" hidden="false" customHeight="false" outlineLevel="0" collapsed="false">
      <c r="A35" s="0" t="s">
        <v>29</v>
      </c>
      <c r="B35" s="6" t="n">
        <v>46064</v>
      </c>
      <c r="C35" s="3" t="s">
        <v>274</v>
      </c>
      <c r="D35" s="0" t="n">
        <v>220</v>
      </c>
      <c r="E35" s="0" t="n">
        <v>726.25</v>
      </c>
      <c r="F35" s="6" t="n">
        <v>46062</v>
      </c>
      <c r="G35" s="3" t="s">
        <v>277</v>
      </c>
      <c r="H35" s="6" t="n">
        <v>46064</v>
      </c>
      <c r="I35" s="3" t="s">
        <v>203</v>
      </c>
      <c r="J35" s="3" t="s">
        <v>40</v>
      </c>
      <c r="K35" s="0" t="n">
        <v>3</v>
      </c>
      <c r="L35" s="0" t="n">
        <v>3</v>
      </c>
      <c r="M35" s="4" t="n">
        <f aca="false">E35*K35*L35</f>
        <v>6536.25</v>
      </c>
      <c r="N35" s="4" t="n">
        <f aca="false">M35*1.18</f>
        <v>7712.775</v>
      </c>
    </row>
    <row r="36" customFormat="false" ht="15" hidden="false" customHeight="false" outlineLevel="0" collapsed="false">
      <c r="A36" s="0" t="s">
        <v>41</v>
      </c>
      <c r="B36" s="6" t="n">
        <v>46064</v>
      </c>
      <c r="C36" s="3" t="s">
        <v>286</v>
      </c>
      <c r="D36" s="0" t="n">
        <v>175</v>
      </c>
      <c r="E36" s="0" t="n">
        <v>960.2</v>
      </c>
      <c r="F36" s="6" t="n">
        <v>46061</v>
      </c>
      <c r="G36" s="3" t="s">
        <v>289</v>
      </c>
      <c r="H36" s="6" t="n">
        <v>46064</v>
      </c>
      <c r="I36" s="3" t="s">
        <v>291</v>
      </c>
      <c r="J36" s="3" t="s">
        <v>40</v>
      </c>
      <c r="K36" s="0" t="n">
        <v>3</v>
      </c>
      <c r="L36" s="0" t="n">
        <v>4</v>
      </c>
      <c r="M36" s="4" t="n">
        <f aca="false">E36*K36*L36</f>
        <v>11522.4</v>
      </c>
      <c r="N36" s="4" t="n">
        <f aca="false">M36*1.18</f>
        <v>13596.432</v>
      </c>
    </row>
    <row r="37" customFormat="false" ht="15" hidden="false" customHeight="false" outlineLevel="0" collapsed="false">
      <c r="A37" s="0" t="s">
        <v>29</v>
      </c>
      <c r="B37" s="6" t="n">
        <v>46065</v>
      </c>
      <c r="C37" s="3" t="s">
        <v>292</v>
      </c>
      <c r="D37" s="0" t="n">
        <v>155</v>
      </c>
      <c r="E37" s="0" t="n">
        <v>1398.18</v>
      </c>
      <c r="F37" s="6" t="n">
        <v>46063</v>
      </c>
      <c r="G37" s="3" t="s">
        <v>295</v>
      </c>
      <c r="H37" s="6" t="n">
        <v>46065</v>
      </c>
      <c r="I37" s="3" t="s">
        <v>297</v>
      </c>
      <c r="J37" s="3" t="s">
        <v>40</v>
      </c>
      <c r="K37" s="0" t="n">
        <v>3</v>
      </c>
      <c r="L37" s="0" t="n">
        <v>3</v>
      </c>
      <c r="M37" s="4" t="n">
        <f aca="false">E37*K37*L37</f>
        <v>12583.62</v>
      </c>
      <c r="N37" s="4" t="n">
        <f aca="false">M37*1.18</f>
        <v>14848.6716</v>
      </c>
    </row>
    <row r="38" customFormat="false" ht="15" hidden="false" customHeight="false" outlineLevel="0" collapsed="false">
      <c r="A38" s="0" t="s">
        <v>29</v>
      </c>
      <c r="B38" s="6" t="n">
        <v>46065</v>
      </c>
      <c r="C38" s="3" t="s">
        <v>298</v>
      </c>
      <c r="D38" s="0" t="n">
        <v>36</v>
      </c>
      <c r="E38" s="0" t="n">
        <v>432.68</v>
      </c>
      <c r="F38" s="6" t="n">
        <v>46062</v>
      </c>
      <c r="G38" s="3" t="s">
        <v>301</v>
      </c>
      <c r="H38" s="6" t="n">
        <v>46065</v>
      </c>
      <c r="I38" s="3" t="s">
        <v>303</v>
      </c>
      <c r="J38" s="3" t="s">
        <v>40</v>
      </c>
      <c r="K38" s="0" t="n">
        <v>3</v>
      </c>
      <c r="L38" s="0" t="n">
        <v>2</v>
      </c>
      <c r="M38" s="4" t="n">
        <f aca="false">E38*K38*L38</f>
        <v>2596.08</v>
      </c>
      <c r="N38" s="4" t="n">
        <f aca="false">M38*1.18</f>
        <v>3063.3744</v>
      </c>
    </row>
    <row r="39" customFormat="false" ht="15" hidden="false" customHeight="false" outlineLevel="0" collapsed="false">
      <c r="A39" s="0" t="s">
        <v>41</v>
      </c>
      <c r="B39" s="6" t="n">
        <v>46065</v>
      </c>
      <c r="C39" s="3" t="s">
        <v>304</v>
      </c>
      <c r="D39" s="0" t="n">
        <v>51</v>
      </c>
      <c r="E39" s="0" t="n">
        <v>81.33</v>
      </c>
      <c r="F39" s="6" t="n">
        <v>46064</v>
      </c>
      <c r="G39" s="3" t="s">
        <v>307</v>
      </c>
      <c r="H39" s="6" t="n">
        <v>46065</v>
      </c>
      <c r="I39" s="3" t="s">
        <v>309</v>
      </c>
      <c r="J39" s="3" t="s">
        <v>40</v>
      </c>
      <c r="K39" s="0" t="n">
        <v>3</v>
      </c>
      <c r="L39" s="0" t="n">
        <v>1</v>
      </c>
      <c r="M39" s="4" t="n">
        <f aca="false">E39*K39*L39</f>
        <v>243.99</v>
      </c>
      <c r="N39" s="4" t="n">
        <f aca="false">M39*1.18</f>
        <v>287.9082</v>
      </c>
    </row>
    <row r="40" customFormat="false" ht="15" hidden="false" customHeight="false" outlineLevel="0" collapsed="false">
      <c r="A40" s="0" t="s">
        <v>41</v>
      </c>
      <c r="B40" s="6" t="n">
        <v>46065</v>
      </c>
      <c r="C40" s="3" t="s">
        <v>315</v>
      </c>
      <c r="D40" s="0" t="n">
        <v>132</v>
      </c>
      <c r="E40" s="0" t="n">
        <v>1103.04</v>
      </c>
      <c r="F40" s="6" t="n">
        <v>46062</v>
      </c>
      <c r="G40" s="3" t="s">
        <v>318</v>
      </c>
      <c r="H40" s="6" t="n">
        <v>46065</v>
      </c>
      <c r="I40" s="3" t="s">
        <v>320</v>
      </c>
      <c r="J40" s="3" t="s">
        <v>92</v>
      </c>
      <c r="K40" s="0" t="n">
        <v>5</v>
      </c>
      <c r="L40" s="0" t="n">
        <v>1</v>
      </c>
      <c r="M40" s="4" t="n">
        <f aca="false">E40*K40*L40</f>
        <v>5515.2</v>
      </c>
      <c r="N40" s="4" t="n">
        <f aca="false">M40*1.18</f>
        <v>6507.936</v>
      </c>
    </row>
    <row r="41" customFormat="false" ht="15" hidden="false" customHeight="false" outlineLevel="0" collapsed="false">
      <c r="A41" s="0" t="s">
        <v>41</v>
      </c>
      <c r="B41" s="6" t="n">
        <v>46065</v>
      </c>
      <c r="C41" s="3" t="s">
        <v>321</v>
      </c>
      <c r="D41" s="0" t="n">
        <v>200</v>
      </c>
      <c r="E41" s="0" t="n">
        <v>3085.15</v>
      </c>
      <c r="F41" s="6" t="n">
        <v>46063</v>
      </c>
      <c r="G41" s="3" t="s">
        <v>323</v>
      </c>
      <c r="H41" s="6" t="n">
        <v>46065</v>
      </c>
      <c r="I41" s="3" t="s">
        <v>325</v>
      </c>
      <c r="J41" s="3" t="s">
        <v>40</v>
      </c>
      <c r="K41" s="0" t="n">
        <v>3</v>
      </c>
      <c r="L41" s="0" t="n">
        <v>1</v>
      </c>
      <c r="M41" s="4" t="n">
        <f aca="false">E41*K41*L41</f>
        <v>9255.45</v>
      </c>
      <c r="N41" s="4" t="n">
        <f aca="false">M41*1.18</f>
        <v>10921.431</v>
      </c>
    </row>
    <row r="42" customFormat="false" ht="15" hidden="false" customHeight="false" outlineLevel="0" collapsed="false">
      <c r="A42" s="0" t="s">
        <v>41</v>
      </c>
      <c r="B42" s="6" t="n">
        <v>46065</v>
      </c>
      <c r="C42" s="3" t="s">
        <v>326</v>
      </c>
      <c r="D42" s="0" t="n">
        <v>44</v>
      </c>
      <c r="E42" s="0" t="n">
        <v>3514.31</v>
      </c>
      <c r="F42" s="6" t="n">
        <v>46064</v>
      </c>
      <c r="G42" s="3" t="s">
        <v>329</v>
      </c>
      <c r="H42" s="6" t="n">
        <v>46065</v>
      </c>
      <c r="I42" s="3" t="s">
        <v>331</v>
      </c>
      <c r="J42" s="3" t="s">
        <v>40</v>
      </c>
      <c r="K42" s="0" t="n">
        <v>3</v>
      </c>
      <c r="L42" s="0" t="n">
        <v>1</v>
      </c>
      <c r="M42" s="4" t="n">
        <f aca="false">E42*K42*L42</f>
        <v>10542.93</v>
      </c>
      <c r="N42" s="4" t="n">
        <f aca="false">M42*1.18</f>
        <v>12440.6574</v>
      </c>
    </row>
    <row r="43" customFormat="false" ht="15" hidden="false" customHeight="false" outlineLevel="0" collapsed="false">
      <c r="A43" s="0" t="s">
        <v>41</v>
      </c>
      <c r="B43" s="6" t="n">
        <v>46066</v>
      </c>
      <c r="C43" s="3" t="s">
        <v>332</v>
      </c>
      <c r="D43" s="0" t="n">
        <v>46</v>
      </c>
      <c r="E43" s="0" t="n">
        <v>717.67</v>
      </c>
      <c r="F43" s="6" t="n">
        <v>46063</v>
      </c>
      <c r="G43" s="3" t="s">
        <v>335</v>
      </c>
      <c r="H43" s="6" t="n">
        <v>46066</v>
      </c>
      <c r="I43" s="3" t="s">
        <v>337</v>
      </c>
      <c r="J43" s="3" t="s">
        <v>40</v>
      </c>
      <c r="K43" s="0" t="n">
        <v>3</v>
      </c>
      <c r="L43" s="0" t="n">
        <v>3</v>
      </c>
      <c r="M43" s="4" t="n">
        <f aca="false">E43*K43*L43</f>
        <v>6459.03</v>
      </c>
      <c r="N43" s="4" t="n">
        <f aca="false">M43*1.18</f>
        <v>7621.6554</v>
      </c>
    </row>
    <row r="44" customFormat="false" ht="15" hidden="false" customHeight="false" outlineLevel="0" collapsed="false">
      <c r="A44" s="0" t="s">
        <v>29</v>
      </c>
      <c r="B44" s="6" t="n">
        <v>46067</v>
      </c>
      <c r="C44" s="3" t="s">
        <v>338</v>
      </c>
      <c r="D44" s="0" t="n">
        <v>41</v>
      </c>
      <c r="E44" s="0" t="n">
        <v>643.3</v>
      </c>
      <c r="F44" s="6" t="n">
        <v>46067</v>
      </c>
      <c r="G44" s="3" t="s">
        <v>341</v>
      </c>
      <c r="H44" s="6" t="n">
        <v>46067</v>
      </c>
      <c r="I44" s="3" t="s">
        <v>343</v>
      </c>
      <c r="J44" s="3" t="s">
        <v>40</v>
      </c>
      <c r="K44" s="0" t="n">
        <v>3</v>
      </c>
      <c r="L44" s="0" t="n">
        <v>3</v>
      </c>
      <c r="M44" s="4" t="n">
        <f aca="false">E44*K44*L44</f>
        <v>5789.7</v>
      </c>
      <c r="N44" s="4" t="n">
        <f aca="false">M44*1.18</f>
        <v>6831.846</v>
      </c>
    </row>
    <row r="45" customFormat="false" ht="15" hidden="false" customHeight="false" outlineLevel="0" collapsed="false">
      <c r="A45" s="0" t="s">
        <v>29</v>
      </c>
      <c r="B45" s="6" t="n">
        <v>46067</v>
      </c>
      <c r="C45" s="3" t="s">
        <v>344</v>
      </c>
      <c r="D45" s="0" t="n">
        <v>172</v>
      </c>
      <c r="E45" s="0" t="n">
        <v>1282.83</v>
      </c>
      <c r="F45" s="6" t="n">
        <v>46067</v>
      </c>
      <c r="G45" s="3" t="s">
        <v>347</v>
      </c>
      <c r="H45" s="6" t="n">
        <v>46067</v>
      </c>
      <c r="I45" s="3" t="s">
        <v>349</v>
      </c>
      <c r="J45" s="3" t="s">
        <v>40</v>
      </c>
      <c r="K45" s="0" t="n">
        <v>3</v>
      </c>
      <c r="L45" s="0" t="n">
        <v>3</v>
      </c>
      <c r="M45" s="4" t="n">
        <f aca="false">E45*K45*L45</f>
        <v>11545.47</v>
      </c>
      <c r="N45" s="4" t="n">
        <f aca="false">M45*1.18</f>
        <v>13623.6546</v>
      </c>
    </row>
    <row r="46" customFormat="false" ht="15" hidden="false" customHeight="false" outlineLevel="0" collapsed="false">
      <c r="A46" s="0" t="s">
        <v>29</v>
      </c>
      <c r="B46" s="6" t="n">
        <v>46067</v>
      </c>
      <c r="C46" s="3" t="s">
        <v>350</v>
      </c>
      <c r="D46" s="0" t="n">
        <v>43</v>
      </c>
      <c r="E46" s="0" t="n">
        <v>326.08</v>
      </c>
      <c r="F46" s="6" t="n">
        <v>46067</v>
      </c>
      <c r="G46" s="3" t="s">
        <v>353</v>
      </c>
      <c r="H46" s="6" t="n">
        <v>46067</v>
      </c>
      <c r="I46" s="3" t="s">
        <v>241</v>
      </c>
      <c r="J46" s="3" t="s">
        <v>40</v>
      </c>
      <c r="K46" s="0" t="n">
        <v>3</v>
      </c>
      <c r="L46" s="0" t="n">
        <v>3</v>
      </c>
      <c r="M46" s="4" t="n">
        <f aca="false">E46*K46*L46</f>
        <v>2934.72</v>
      </c>
      <c r="N46" s="4" t="n">
        <f aca="false">M46*1.18</f>
        <v>3462.9696</v>
      </c>
    </row>
    <row r="47" customFormat="false" ht="15" hidden="false" customHeight="false" outlineLevel="0" collapsed="false">
      <c r="A47" s="0" t="s">
        <v>41</v>
      </c>
      <c r="B47" s="6" t="n">
        <v>46067</v>
      </c>
      <c r="C47" s="3" t="s">
        <v>355</v>
      </c>
      <c r="D47" s="0" t="n">
        <v>119</v>
      </c>
      <c r="E47" s="0" t="n">
        <v>2060.16</v>
      </c>
      <c r="F47" s="6" t="n">
        <v>46066</v>
      </c>
      <c r="G47" s="3" t="s">
        <v>357</v>
      </c>
      <c r="H47" s="6" t="n">
        <v>46067</v>
      </c>
      <c r="I47" s="3" t="s">
        <v>359</v>
      </c>
      <c r="J47" s="3" t="s">
        <v>40</v>
      </c>
      <c r="K47" s="0" t="n">
        <v>3</v>
      </c>
      <c r="L47" s="0" t="n">
        <v>4</v>
      </c>
      <c r="M47" s="4" t="n">
        <f aca="false">E47*K47*L47</f>
        <v>24721.92</v>
      </c>
      <c r="N47" s="4" t="n">
        <f aca="false">M47*1.18</f>
        <v>29171.8656</v>
      </c>
    </row>
    <row r="48" customFormat="false" ht="15" hidden="false" customHeight="false" outlineLevel="0" collapsed="false">
      <c r="A48" s="0" t="s">
        <v>41</v>
      </c>
      <c r="B48" s="6" t="n">
        <v>46067</v>
      </c>
      <c r="C48" s="3" t="s">
        <v>365</v>
      </c>
      <c r="D48" s="0" t="n">
        <v>181</v>
      </c>
      <c r="E48" s="0" t="n">
        <v>2744.38</v>
      </c>
      <c r="F48" s="6" t="n">
        <v>46067</v>
      </c>
      <c r="G48" s="3" t="s">
        <v>368</v>
      </c>
      <c r="H48" s="6" t="n">
        <v>46067</v>
      </c>
      <c r="I48" s="3" t="s">
        <v>370</v>
      </c>
      <c r="J48" s="3" t="s">
        <v>40</v>
      </c>
      <c r="K48" s="0" t="n">
        <v>3</v>
      </c>
      <c r="L48" s="0" t="n">
        <v>3</v>
      </c>
      <c r="M48" s="4" t="n">
        <f aca="false">E48*K48*L48</f>
        <v>24699.42</v>
      </c>
      <c r="N48" s="4" t="n">
        <f aca="false">M48*1.18</f>
        <v>29145.3156</v>
      </c>
    </row>
    <row r="49" customFormat="false" ht="15" hidden="false" customHeight="false" outlineLevel="0" collapsed="false">
      <c r="A49" s="0" t="s">
        <v>41</v>
      </c>
      <c r="B49" s="6" t="n">
        <v>46069</v>
      </c>
      <c r="C49" s="3" t="s">
        <v>371</v>
      </c>
      <c r="D49" s="0" t="n">
        <v>171</v>
      </c>
      <c r="E49" s="0" t="n">
        <v>2570.3</v>
      </c>
      <c r="F49" s="6" t="n">
        <v>46067</v>
      </c>
      <c r="G49" s="3" t="s">
        <v>316</v>
      </c>
      <c r="H49" s="6" t="n">
        <v>46069</v>
      </c>
      <c r="I49" s="3" t="s">
        <v>375</v>
      </c>
      <c r="J49" s="3" t="s">
        <v>40</v>
      </c>
      <c r="K49" s="0" t="n">
        <v>3</v>
      </c>
      <c r="L49" s="0" t="n">
        <v>1</v>
      </c>
      <c r="M49" s="4" t="n">
        <f aca="false">E49*K49*L49</f>
        <v>7710.9</v>
      </c>
      <c r="N49" s="4" t="n">
        <f aca="false">M49*1.18</f>
        <v>9098.862</v>
      </c>
    </row>
    <row r="50" customFormat="false" ht="15" hidden="false" customHeight="false" outlineLevel="0" collapsed="false">
      <c r="A50" s="0" t="s">
        <v>41</v>
      </c>
      <c r="B50" s="6" t="n">
        <v>46069</v>
      </c>
      <c r="C50" s="3" t="s">
        <v>376</v>
      </c>
      <c r="D50" s="0" t="n">
        <v>218</v>
      </c>
      <c r="E50" s="0" t="n">
        <v>175.07</v>
      </c>
      <c r="F50" s="6" t="n">
        <v>46067</v>
      </c>
      <c r="G50" s="3" t="s">
        <v>379</v>
      </c>
      <c r="H50" s="6" t="n">
        <v>46069</v>
      </c>
      <c r="I50" s="3" t="s">
        <v>381</v>
      </c>
      <c r="J50" s="3" t="s">
        <v>40</v>
      </c>
      <c r="K50" s="0" t="n">
        <v>3</v>
      </c>
      <c r="L50" s="0" t="n">
        <v>1</v>
      </c>
      <c r="M50" s="4" t="n">
        <f aca="false">E50*K50*L50</f>
        <v>525.21</v>
      </c>
      <c r="N50" s="4" t="n">
        <f aca="false">M50*1.18</f>
        <v>619.7478</v>
      </c>
    </row>
    <row r="51" customFormat="false" ht="15" hidden="false" customHeight="false" outlineLevel="0" collapsed="false">
      <c r="A51" s="0" t="s">
        <v>29</v>
      </c>
      <c r="B51" s="6" t="n">
        <v>46072</v>
      </c>
      <c r="C51" s="3" t="s">
        <v>392</v>
      </c>
      <c r="D51" s="0" t="n">
        <v>169</v>
      </c>
      <c r="E51" s="0" t="n">
        <v>722.3</v>
      </c>
      <c r="F51" s="6" t="n">
        <v>46071</v>
      </c>
      <c r="G51" s="3" t="s">
        <v>395</v>
      </c>
      <c r="H51" s="6" t="n">
        <v>46072</v>
      </c>
      <c r="I51" s="3" t="s">
        <v>397</v>
      </c>
      <c r="J51" s="3" t="s">
        <v>40</v>
      </c>
      <c r="K51" s="0" t="n">
        <v>3</v>
      </c>
      <c r="L51" s="0" t="n">
        <v>3</v>
      </c>
      <c r="M51" s="4" t="n">
        <f aca="false">E51*K51*L51</f>
        <v>6500.7</v>
      </c>
      <c r="N51" s="4" t="n">
        <f aca="false">M51*1.18</f>
        <v>7670.826</v>
      </c>
    </row>
    <row r="52" customFormat="false" ht="15" hidden="false" customHeight="false" outlineLevel="0" collapsed="false">
      <c r="A52" s="0" t="s">
        <v>41</v>
      </c>
      <c r="B52" s="6" t="n">
        <v>46072</v>
      </c>
      <c r="C52" s="3" t="s">
        <v>398</v>
      </c>
      <c r="D52" s="0" t="n">
        <v>188</v>
      </c>
      <c r="E52" s="0" t="n">
        <v>2786.46</v>
      </c>
      <c r="F52" s="6" t="n">
        <v>46070</v>
      </c>
      <c r="G52" s="3" t="s">
        <v>375</v>
      </c>
      <c r="H52" s="6" t="n">
        <v>46072</v>
      </c>
      <c r="I52" s="3" t="s">
        <v>402</v>
      </c>
      <c r="J52" s="3" t="s">
        <v>100</v>
      </c>
      <c r="K52" s="0" t="n">
        <v>3</v>
      </c>
      <c r="L52" s="0" t="n">
        <v>2</v>
      </c>
      <c r="M52" s="4" t="n">
        <f aca="false">E52*K52*L52</f>
        <v>16718.76</v>
      </c>
      <c r="N52" s="4" t="n">
        <f aca="false">M52*1.18</f>
        <v>19728.1368</v>
      </c>
    </row>
    <row r="53" customFormat="false" ht="15" hidden="false" customHeight="false" outlineLevel="0" collapsed="false">
      <c r="A53" s="0" t="s">
        <v>41</v>
      </c>
      <c r="B53" s="6" t="n">
        <v>46072</v>
      </c>
      <c r="C53" s="3" t="s">
        <v>403</v>
      </c>
      <c r="D53" s="0" t="n">
        <v>209</v>
      </c>
      <c r="E53" s="0" t="n">
        <v>702.91</v>
      </c>
      <c r="F53" s="6" t="n">
        <v>46070</v>
      </c>
      <c r="G53" s="3" t="s">
        <v>406</v>
      </c>
      <c r="H53" s="6" t="n">
        <v>46072</v>
      </c>
      <c r="I53" s="3" t="s">
        <v>408</v>
      </c>
      <c r="J53" s="3" t="s">
        <v>40</v>
      </c>
      <c r="K53" s="0" t="n">
        <v>3</v>
      </c>
      <c r="L53" s="0" t="n">
        <v>3</v>
      </c>
      <c r="M53" s="4" t="n">
        <f aca="false">E53*K53*L53</f>
        <v>6326.19</v>
      </c>
      <c r="N53" s="4" t="n">
        <f aca="false">M53*1.18</f>
        <v>7464.9042</v>
      </c>
    </row>
    <row r="54" customFormat="false" ht="15" hidden="false" customHeight="false" outlineLevel="0" collapsed="false">
      <c r="A54" s="0" t="s">
        <v>41</v>
      </c>
      <c r="B54" s="6" t="n">
        <v>46072</v>
      </c>
      <c r="C54" s="3" t="s">
        <v>421</v>
      </c>
      <c r="D54" s="0" t="n">
        <v>29</v>
      </c>
      <c r="E54" s="0" t="n">
        <v>1496.98</v>
      </c>
      <c r="F54" s="6" t="n">
        <v>46070</v>
      </c>
      <c r="G54" s="3" t="s">
        <v>424</v>
      </c>
      <c r="H54" s="6" t="n">
        <v>46072</v>
      </c>
      <c r="I54" s="3" t="s">
        <v>426</v>
      </c>
      <c r="J54" s="3" t="s">
        <v>40</v>
      </c>
      <c r="K54" s="0" t="n">
        <v>3</v>
      </c>
      <c r="L54" s="0" t="n">
        <v>2</v>
      </c>
      <c r="M54" s="4" t="n">
        <f aca="false">E54*K54*L54</f>
        <v>8981.88</v>
      </c>
      <c r="N54" s="4" t="n">
        <f aca="false">M54*1.18</f>
        <v>10598.6184</v>
      </c>
    </row>
    <row r="55" customFormat="false" ht="15" hidden="false" customHeight="false" outlineLevel="0" collapsed="false">
      <c r="A55" s="0" t="s">
        <v>29</v>
      </c>
      <c r="B55" s="6" t="n">
        <v>46073</v>
      </c>
      <c r="C55" s="3" t="s">
        <v>427</v>
      </c>
      <c r="D55" s="0" t="n">
        <v>76</v>
      </c>
      <c r="E55" s="0" t="n">
        <v>3278.69</v>
      </c>
      <c r="F55" s="6" t="n">
        <v>46070</v>
      </c>
      <c r="G55" s="3" t="s">
        <v>430</v>
      </c>
      <c r="H55" s="6" t="n">
        <v>46073</v>
      </c>
      <c r="I55" s="3" t="s">
        <v>432</v>
      </c>
      <c r="J55" s="3" t="s">
        <v>40</v>
      </c>
      <c r="K55" s="0" t="n">
        <v>3</v>
      </c>
      <c r="L55" s="0" t="n">
        <v>2</v>
      </c>
      <c r="M55" s="4" t="n">
        <f aca="false">E55*K55*L55</f>
        <v>19672.14</v>
      </c>
      <c r="N55" s="4" t="n">
        <f aca="false">M55*1.18</f>
        <v>23213.1252</v>
      </c>
    </row>
    <row r="56" customFormat="false" ht="15" hidden="false" customHeight="false" outlineLevel="0" collapsed="false">
      <c r="A56" s="0" t="s">
        <v>29</v>
      </c>
      <c r="B56" s="6" t="n">
        <v>46073</v>
      </c>
      <c r="C56" s="3" t="s">
        <v>433</v>
      </c>
      <c r="D56" s="0" t="n">
        <v>162</v>
      </c>
      <c r="E56" s="0" t="n">
        <v>2379.37</v>
      </c>
      <c r="F56" s="6" t="n">
        <v>46072</v>
      </c>
      <c r="G56" s="3" t="s">
        <v>436</v>
      </c>
      <c r="H56" s="6" t="n">
        <v>46073</v>
      </c>
      <c r="I56" s="3" t="s">
        <v>214</v>
      </c>
      <c r="J56" s="3" t="s">
        <v>40</v>
      </c>
      <c r="K56" s="0" t="n">
        <v>3</v>
      </c>
      <c r="L56" s="0" t="n">
        <v>3</v>
      </c>
      <c r="M56" s="4" t="n">
        <f aca="false">E56*K56*L56</f>
        <v>21414.33</v>
      </c>
      <c r="N56" s="4" t="n">
        <f aca="false">M56*1.18</f>
        <v>25268.9094</v>
      </c>
    </row>
    <row r="57" customFormat="false" ht="15" hidden="false" customHeight="false" outlineLevel="0" collapsed="false">
      <c r="A57" s="0" t="s">
        <v>29</v>
      </c>
      <c r="B57" s="6" t="n">
        <v>46074</v>
      </c>
      <c r="C57" s="3" t="s">
        <v>450</v>
      </c>
      <c r="D57" s="0" t="n">
        <v>212</v>
      </c>
      <c r="E57" s="0" t="n">
        <v>1803.28</v>
      </c>
      <c r="F57" s="6" t="n">
        <v>46072</v>
      </c>
      <c r="G57" s="3" t="s">
        <v>452</v>
      </c>
      <c r="H57" s="6" t="n">
        <v>46074</v>
      </c>
      <c r="I57" s="3" t="s">
        <v>454</v>
      </c>
      <c r="J57" s="3" t="s">
        <v>40</v>
      </c>
      <c r="K57" s="0" t="n">
        <v>3</v>
      </c>
      <c r="L57" s="0" t="n">
        <v>2</v>
      </c>
      <c r="M57" s="4" t="n">
        <f aca="false">E57*K57*L57</f>
        <v>10819.68</v>
      </c>
      <c r="N57" s="4" t="n">
        <f aca="false">M57*1.18</f>
        <v>12767.2224</v>
      </c>
    </row>
    <row r="58" customFormat="false" ht="15" hidden="false" customHeight="false" outlineLevel="0" collapsed="false">
      <c r="A58" s="0" t="s">
        <v>29</v>
      </c>
      <c r="B58" s="6" t="n">
        <v>46074</v>
      </c>
      <c r="C58" s="3" t="s">
        <v>455</v>
      </c>
      <c r="D58" s="0" t="n">
        <v>158</v>
      </c>
      <c r="E58" s="0" t="n">
        <v>1822.3</v>
      </c>
      <c r="F58" s="6" t="n">
        <v>46072</v>
      </c>
      <c r="G58" s="3" t="s">
        <v>106</v>
      </c>
      <c r="H58" s="6" t="n">
        <v>46074</v>
      </c>
      <c r="I58" s="3" t="s">
        <v>459</v>
      </c>
      <c r="J58" s="3" t="s">
        <v>151</v>
      </c>
      <c r="K58" s="0" t="n">
        <v>3</v>
      </c>
      <c r="L58" s="0" t="n">
        <v>3</v>
      </c>
      <c r="M58" s="4" t="n">
        <f aca="false">E58*K58*L58</f>
        <v>16400.7</v>
      </c>
      <c r="N58" s="4" t="n">
        <f aca="false">M58*1.18</f>
        <v>19352.826</v>
      </c>
    </row>
    <row r="59" customFormat="false" ht="15" hidden="false" customHeight="false" outlineLevel="0" collapsed="false">
      <c r="A59" s="0" t="s">
        <v>29</v>
      </c>
      <c r="B59" s="6" t="n">
        <v>46074</v>
      </c>
      <c r="C59" s="3" t="s">
        <v>460</v>
      </c>
      <c r="D59" s="0" t="n">
        <v>176</v>
      </c>
      <c r="E59" s="0" t="n">
        <v>3183.16</v>
      </c>
      <c r="F59" s="6" t="n">
        <v>46072</v>
      </c>
      <c r="G59" s="3" t="s">
        <v>463</v>
      </c>
      <c r="H59" s="6" t="n">
        <v>46074</v>
      </c>
      <c r="I59" s="3" t="s">
        <v>465</v>
      </c>
      <c r="J59" s="3" t="s">
        <v>40</v>
      </c>
      <c r="K59" s="0" t="n">
        <v>3</v>
      </c>
      <c r="L59" s="0" t="n">
        <v>2</v>
      </c>
      <c r="M59" s="4" t="n">
        <f aca="false">E59*K59*L59</f>
        <v>19098.96</v>
      </c>
      <c r="N59" s="4" t="n">
        <f aca="false">M59*1.18</f>
        <v>22536.7728</v>
      </c>
    </row>
    <row r="60" customFormat="false" ht="15" hidden="false" customHeight="false" outlineLevel="0" collapsed="false">
      <c r="A60" s="0" t="s">
        <v>29</v>
      </c>
      <c r="B60" s="6" t="n">
        <v>46074</v>
      </c>
      <c r="C60" s="3" t="s">
        <v>466</v>
      </c>
      <c r="D60" s="0" t="n">
        <v>190</v>
      </c>
      <c r="E60" s="0" t="n">
        <v>1689.69</v>
      </c>
      <c r="F60" s="6" t="n">
        <v>46072</v>
      </c>
      <c r="G60" s="3" t="s">
        <v>82</v>
      </c>
      <c r="H60" s="6" t="n">
        <v>46074</v>
      </c>
      <c r="I60" s="3" t="s">
        <v>470</v>
      </c>
      <c r="J60" s="3" t="s">
        <v>40</v>
      </c>
      <c r="K60" s="0" t="n">
        <v>3</v>
      </c>
      <c r="L60" s="0" t="n">
        <v>3</v>
      </c>
      <c r="M60" s="4" t="n">
        <f aca="false">E60*K60*L60</f>
        <v>15207.21</v>
      </c>
      <c r="N60" s="4" t="n">
        <f aca="false">M60*1.18</f>
        <v>17944.5078</v>
      </c>
    </row>
    <row r="61" customFormat="false" ht="15" hidden="false" customHeight="false" outlineLevel="0" collapsed="false">
      <c r="A61" s="0" t="s">
        <v>41</v>
      </c>
      <c r="B61" s="6" t="n">
        <v>46075</v>
      </c>
      <c r="C61" s="3" t="s">
        <v>476</v>
      </c>
      <c r="D61" s="0" t="n">
        <v>97</v>
      </c>
      <c r="E61" s="0" t="n">
        <v>2930.26</v>
      </c>
      <c r="F61" s="6" t="n">
        <v>46074</v>
      </c>
      <c r="G61" s="3" t="s">
        <v>479</v>
      </c>
      <c r="H61" s="6" t="n">
        <v>46075</v>
      </c>
      <c r="I61" s="3" t="s">
        <v>481</v>
      </c>
      <c r="J61" s="3" t="s">
        <v>40</v>
      </c>
      <c r="K61" s="0" t="n">
        <v>3</v>
      </c>
      <c r="L61" s="0" t="n">
        <v>1</v>
      </c>
      <c r="M61" s="4" t="n">
        <f aca="false">E61*K61*L61</f>
        <v>8790.78</v>
      </c>
      <c r="N61" s="4" t="n">
        <f aca="false">M61*1.18</f>
        <v>10373.1204</v>
      </c>
    </row>
    <row r="62" customFormat="false" ht="15" hidden="false" customHeight="false" outlineLevel="0" collapsed="false">
      <c r="A62" s="0" t="s">
        <v>41</v>
      </c>
      <c r="B62" s="6" t="n">
        <v>46075</v>
      </c>
      <c r="C62" s="3" t="s">
        <v>482</v>
      </c>
      <c r="D62" s="0" t="n">
        <v>37</v>
      </c>
      <c r="E62" s="0" t="n">
        <v>405.15</v>
      </c>
      <c r="F62" s="6" t="n">
        <v>46073</v>
      </c>
      <c r="G62" s="3" t="s">
        <v>485</v>
      </c>
      <c r="H62" s="6" t="n">
        <v>46075</v>
      </c>
      <c r="I62" s="3" t="s">
        <v>487</v>
      </c>
      <c r="J62" s="3" t="s">
        <v>40</v>
      </c>
      <c r="K62" s="0" t="n">
        <v>3</v>
      </c>
      <c r="L62" s="0" t="n">
        <v>1</v>
      </c>
      <c r="M62" s="4" t="n">
        <f aca="false">E62*K62*L62</f>
        <v>1215.45</v>
      </c>
      <c r="N62" s="4" t="n">
        <f aca="false">M62*1.18</f>
        <v>1434.231</v>
      </c>
    </row>
    <row r="63" customFormat="false" ht="15" hidden="false" customHeight="false" outlineLevel="0" collapsed="false">
      <c r="A63" s="0" t="s">
        <v>41</v>
      </c>
      <c r="B63" s="6" t="n">
        <v>46076</v>
      </c>
      <c r="C63" s="3" t="s">
        <v>488</v>
      </c>
      <c r="D63" s="0" t="n">
        <v>125</v>
      </c>
      <c r="E63" s="0" t="n">
        <v>2052.78</v>
      </c>
      <c r="F63" s="6" t="n">
        <v>46074</v>
      </c>
      <c r="G63" s="3" t="s">
        <v>163</v>
      </c>
      <c r="H63" s="6" t="n">
        <v>46076</v>
      </c>
      <c r="I63" s="3" t="s">
        <v>492</v>
      </c>
      <c r="J63" s="3" t="s">
        <v>40</v>
      </c>
      <c r="K63" s="0" t="n">
        <v>3</v>
      </c>
      <c r="L63" s="0" t="n">
        <v>3</v>
      </c>
      <c r="M63" s="4" t="n">
        <f aca="false">E63*K63*L63</f>
        <v>18475.02</v>
      </c>
      <c r="N63" s="4" t="n">
        <f aca="false">M63*1.18</f>
        <v>21800.5236</v>
      </c>
    </row>
    <row r="64" customFormat="false" ht="15" hidden="false" customHeight="false" outlineLevel="0" collapsed="false">
      <c r="A64" s="0" t="s">
        <v>41</v>
      </c>
      <c r="B64" s="6" t="n">
        <v>46076</v>
      </c>
      <c r="C64" s="3" t="s">
        <v>493</v>
      </c>
      <c r="D64" s="0" t="n">
        <v>188</v>
      </c>
      <c r="E64" s="0" t="n">
        <v>2339.37</v>
      </c>
      <c r="F64" s="6" t="n">
        <v>46076</v>
      </c>
      <c r="G64" s="3" t="s">
        <v>495</v>
      </c>
      <c r="H64" s="6" t="n">
        <v>46076</v>
      </c>
      <c r="I64" s="3" t="s">
        <v>497</v>
      </c>
      <c r="J64" s="3" t="s">
        <v>151</v>
      </c>
      <c r="K64" s="0" t="n">
        <v>3</v>
      </c>
      <c r="L64" s="0" t="n">
        <v>4</v>
      </c>
      <c r="M64" s="4" t="n">
        <f aca="false">E64*K64*L64</f>
        <v>28072.44</v>
      </c>
      <c r="N64" s="4" t="n">
        <f aca="false">M64*1.18</f>
        <v>33125.4792</v>
      </c>
    </row>
    <row r="65" customFormat="false" ht="15" hidden="false" customHeight="false" outlineLevel="0" collapsed="false">
      <c r="A65" s="0" t="s">
        <v>29</v>
      </c>
      <c r="B65" s="6" t="n">
        <v>46077</v>
      </c>
      <c r="C65" s="3" t="s">
        <v>498</v>
      </c>
      <c r="D65" s="0" t="n">
        <v>87</v>
      </c>
      <c r="E65" s="0" t="n">
        <v>3004.56</v>
      </c>
      <c r="F65" s="6" t="n">
        <v>46077</v>
      </c>
      <c r="G65" s="3" t="s">
        <v>501</v>
      </c>
      <c r="H65" s="6" t="n">
        <v>46077</v>
      </c>
      <c r="I65" s="3" t="s">
        <v>503</v>
      </c>
      <c r="J65" s="3" t="s">
        <v>40</v>
      </c>
      <c r="K65" s="0" t="n">
        <v>3</v>
      </c>
      <c r="L65" s="0" t="n">
        <v>3</v>
      </c>
      <c r="M65" s="4" t="n">
        <f aca="false">E65*K65*L65</f>
        <v>27041.04</v>
      </c>
      <c r="N65" s="4" t="n">
        <f aca="false">M65*1.18</f>
        <v>31908.4272</v>
      </c>
    </row>
    <row r="66" customFormat="false" ht="15" hidden="false" customHeight="false" outlineLevel="0" collapsed="false">
      <c r="A66" s="0" t="s">
        <v>29</v>
      </c>
      <c r="B66" s="6" t="n">
        <v>46077</v>
      </c>
      <c r="C66" s="3" t="s">
        <v>504</v>
      </c>
      <c r="D66" s="0" t="n">
        <v>164</v>
      </c>
      <c r="E66" s="0" t="n">
        <v>4206.21</v>
      </c>
      <c r="F66" s="6" t="n">
        <v>46076</v>
      </c>
      <c r="G66" s="3" t="s">
        <v>507</v>
      </c>
      <c r="H66" s="6" t="n">
        <v>46077</v>
      </c>
      <c r="I66" s="3" t="s">
        <v>195</v>
      </c>
      <c r="J66" s="3" t="s">
        <v>40</v>
      </c>
      <c r="K66" s="0" t="n">
        <v>3</v>
      </c>
      <c r="L66" s="0" t="n">
        <v>4</v>
      </c>
      <c r="M66" s="4" t="n">
        <f aca="false">E66*K66*L66</f>
        <v>50474.52</v>
      </c>
      <c r="N66" s="4" t="n">
        <f aca="false">M66*1.18</f>
        <v>59559.9336</v>
      </c>
    </row>
    <row r="67" customFormat="false" ht="15" hidden="false" customHeight="false" outlineLevel="0" collapsed="false">
      <c r="A67" s="0" t="s">
        <v>41</v>
      </c>
      <c r="B67" s="6" t="n">
        <v>46077</v>
      </c>
      <c r="C67" s="3" t="s">
        <v>521</v>
      </c>
      <c r="D67" s="0" t="n">
        <v>97</v>
      </c>
      <c r="E67" s="0" t="n">
        <v>3021.83</v>
      </c>
      <c r="F67" s="6" t="n">
        <v>46076</v>
      </c>
      <c r="G67" s="3" t="s">
        <v>195</v>
      </c>
      <c r="H67" s="6" t="n">
        <v>46077</v>
      </c>
      <c r="I67" s="3" t="s">
        <v>525</v>
      </c>
      <c r="J67" s="3" t="s">
        <v>40</v>
      </c>
      <c r="K67" s="0" t="n">
        <v>3</v>
      </c>
      <c r="L67" s="0" t="n">
        <v>2</v>
      </c>
      <c r="M67" s="4" t="n">
        <f aca="false">E67*K67*L67</f>
        <v>18130.98</v>
      </c>
      <c r="N67" s="4" t="n">
        <f aca="false">M67*1.18</f>
        <v>21394.5564</v>
      </c>
    </row>
    <row r="68" customFormat="false" ht="15" hidden="false" customHeight="false" outlineLevel="0" collapsed="false">
      <c r="A68" s="0" t="s">
        <v>41</v>
      </c>
      <c r="B68" s="6" t="n">
        <v>46077</v>
      </c>
      <c r="C68" s="3" t="s">
        <v>532</v>
      </c>
      <c r="D68" s="0" t="n">
        <v>185</v>
      </c>
      <c r="E68" s="0" t="n">
        <v>1786.86</v>
      </c>
      <c r="F68" s="6" t="n">
        <v>46077</v>
      </c>
      <c r="G68" s="3" t="s">
        <v>483</v>
      </c>
      <c r="H68" s="6" t="n">
        <v>46077</v>
      </c>
      <c r="I68" s="3" t="s">
        <v>119</v>
      </c>
      <c r="J68" s="3" t="s">
        <v>40</v>
      </c>
      <c r="K68" s="0" t="n">
        <v>3</v>
      </c>
      <c r="L68" s="0" t="n">
        <v>3</v>
      </c>
      <c r="M68" s="4" t="n">
        <f aca="false">E68*K68*L68</f>
        <v>16081.74</v>
      </c>
      <c r="N68" s="4" t="n">
        <f aca="false">M68*1.18</f>
        <v>18976.4532</v>
      </c>
    </row>
    <row r="69" customFormat="false" ht="15" hidden="false" customHeight="false" outlineLevel="0" collapsed="false">
      <c r="A69" s="0" t="s">
        <v>41</v>
      </c>
      <c r="B69" s="6" t="n">
        <v>46079</v>
      </c>
      <c r="C69" s="3" t="s">
        <v>542</v>
      </c>
      <c r="D69" s="0" t="n">
        <v>160</v>
      </c>
      <c r="E69" s="0" t="n">
        <v>1322.55</v>
      </c>
      <c r="F69" s="6" t="n">
        <v>46076</v>
      </c>
      <c r="G69" s="3" t="s">
        <v>543</v>
      </c>
      <c r="H69" s="6" t="n">
        <v>46079</v>
      </c>
      <c r="I69" s="3" t="s">
        <v>543</v>
      </c>
      <c r="J69" s="3" t="s">
        <v>40</v>
      </c>
      <c r="K69" s="0" t="n">
        <v>3</v>
      </c>
      <c r="L69" s="0" t="n">
        <v>2</v>
      </c>
      <c r="M69" s="4" t="n">
        <f aca="false">E69*K69*L69</f>
        <v>7935.3</v>
      </c>
      <c r="N69" s="4" t="n">
        <f aca="false">M69*1.18</f>
        <v>9363.654</v>
      </c>
    </row>
    <row r="70" customFormat="false" ht="15" hidden="false" customHeight="false" outlineLevel="0" collapsed="false">
      <c r="A70" s="0" t="s">
        <v>29</v>
      </c>
      <c r="B70" s="6" t="n">
        <v>46080</v>
      </c>
      <c r="C70" s="3" t="s">
        <v>545</v>
      </c>
      <c r="D70" s="0" t="n">
        <v>200</v>
      </c>
      <c r="E70" s="0" t="n">
        <v>1500.43</v>
      </c>
      <c r="F70" s="6" t="n">
        <v>46079</v>
      </c>
      <c r="G70" s="3" t="s">
        <v>548</v>
      </c>
      <c r="H70" s="6" t="n">
        <v>46080</v>
      </c>
      <c r="I70" s="3" t="s">
        <v>550</v>
      </c>
      <c r="J70" s="3" t="s">
        <v>40</v>
      </c>
      <c r="K70" s="0" t="n">
        <v>3</v>
      </c>
      <c r="L70" s="0" t="n">
        <v>1</v>
      </c>
      <c r="M70" s="4" t="n">
        <f aca="false">E70*K70*L70</f>
        <v>4501.29</v>
      </c>
      <c r="N70" s="4" t="n">
        <f aca="false">M70*1.18</f>
        <v>5311.5222</v>
      </c>
    </row>
    <row r="71" customFormat="false" ht="15" hidden="false" customHeight="false" outlineLevel="0" collapsed="false">
      <c r="A71" s="0" t="s">
        <v>41</v>
      </c>
      <c r="B71" s="6" t="n">
        <v>46080</v>
      </c>
      <c r="C71" s="3" t="s">
        <v>562</v>
      </c>
      <c r="D71" s="0" t="n">
        <v>167</v>
      </c>
      <c r="E71" s="0" t="n">
        <v>3999</v>
      </c>
      <c r="F71" s="6" t="n">
        <v>46079</v>
      </c>
      <c r="G71" s="3" t="s">
        <v>564</v>
      </c>
      <c r="H71" s="6" t="n">
        <v>46080</v>
      </c>
      <c r="I71" s="3" t="s">
        <v>566</v>
      </c>
      <c r="J71" s="3" t="s">
        <v>567</v>
      </c>
      <c r="K71" s="0" t="n">
        <v>12</v>
      </c>
      <c r="L71" s="0" t="n">
        <v>3</v>
      </c>
      <c r="M71" s="4" t="n">
        <f aca="false">E71*K71*L71</f>
        <v>143964</v>
      </c>
      <c r="N71" s="4" t="n">
        <f aca="false">M71*1.18</f>
        <v>169877.52</v>
      </c>
    </row>
    <row r="72" customFormat="false" ht="15" hidden="false" customHeight="false" outlineLevel="0" collapsed="false">
      <c r="A72" s="0" t="s">
        <v>29</v>
      </c>
      <c r="B72" s="6" t="n">
        <v>46081</v>
      </c>
      <c r="C72" s="3" t="s">
        <v>568</v>
      </c>
      <c r="D72" s="0" t="n">
        <v>121</v>
      </c>
      <c r="E72" s="0" t="n">
        <v>2219.89</v>
      </c>
      <c r="F72" s="6" t="n">
        <v>46079</v>
      </c>
      <c r="G72" s="3" t="s">
        <v>456</v>
      </c>
      <c r="H72" s="6" t="n">
        <v>46081</v>
      </c>
      <c r="I72" s="3" t="s">
        <v>103</v>
      </c>
      <c r="J72" s="3" t="s">
        <v>40</v>
      </c>
      <c r="K72" s="0" t="n">
        <v>3</v>
      </c>
      <c r="L72" s="0" t="n">
        <v>4</v>
      </c>
      <c r="M72" s="4" t="n">
        <f aca="false">E72*K72*L72</f>
        <v>26638.68</v>
      </c>
      <c r="N72" s="4" t="n">
        <f aca="false">M72*1.18</f>
        <v>31433.6424</v>
      </c>
    </row>
    <row r="73" customFormat="false" ht="15" hidden="false" customHeight="false" outlineLevel="0" collapsed="false">
      <c r="A73" s="0" t="s">
        <v>29</v>
      </c>
      <c r="B73" s="6" t="n">
        <v>46081</v>
      </c>
      <c r="C73" s="3" t="s">
        <v>574</v>
      </c>
      <c r="D73" s="0" t="n">
        <v>6</v>
      </c>
      <c r="E73" s="0" t="n">
        <v>916.59</v>
      </c>
      <c r="F73" s="6" t="n">
        <v>46080</v>
      </c>
      <c r="G73" s="3" t="s">
        <v>576</v>
      </c>
      <c r="H73" s="6" t="n">
        <v>46081</v>
      </c>
      <c r="I73" s="3" t="s">
        <v>94</v>
      </c>
      <c r="J73" s="3" t="s">
        <v>92</v>
      </c>
      <c r="K73" s="0" t="n">
        <v>5</v>
      </c>
      <c r="L73" s="0" t="n">
        <v>2</v>
      </c>
      <c r="M73" s="4" t="n">
        <f aca="false">E73*K73*L73</f>
        <v>9165.9</v>
      </c>
      <c r="N73" s="4" t="n">
        <f aca="false">M73*1.18</f>
        <v>10815.762</v>
      </c>
    </row>
    <row r="74" customFormat="false" ht="15" hidden="false" customHeight="false" outlineLevel="0" collapsed="false">
      <c r="A74" s="0" t="s">
        <v>41</v>
      </c>
      <c r="B74" s="6" t="n">
        <v>46081</v>
      </c>
      <c r="C74" s="3" t="s">
        <v>578</v>
      </c>
      <c r="D74" s="0" t="n">
        <v>52</v>
      </c>
      <c r="E74" s="0" t="n">
        <v>1737.94</v>
      </c>
      <c r="F74" s="6" t="n">
        <v>46080</v>
      </c>
      <c r="G74" s="3" t="s">
        <v>581</v>
      </c>
      <c r="H74" s="6" t="n">
        <v>46081</v>
      </c>
      <c r="I74" s="3" t="s">
        <v>583</v>
      </c>
      <c r="J74" s="3" t="s">
        <v>40</v>
      </c>
      <c r="K74" s="0" t="n">
        <v>3</v>
      </c>
      <c r="L74" s="0" t="n">
        <v>4</v>
      </c>
      <c r="M74" s="4" t="n">
        <f aca="false">E74*K74*L74</f>
        <v>20855.28</v>
      </c>
      <c r="N74" s="4" t="n">
        <f aca="false">M74*1.18</f>
        <v>24609.2304</v>
      </c>
    </row>
    <row r="75" customFormat="false" ht="15" hidden="false" customHeight="false" outlineLevel="0" collapsed="false">
      <c r="M75" s="7" t="n">
        <f aca="false">SUM(M4:M74)</f>
        <v>1089991.94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7" min="5" style="0" width="6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5" t="s">
        <v>606</v>
      </c>
    </row>
    <row r="3" customFormat="false" ht="23.85" hidden="false" customHeight="false" outlineLevel="0" collapsed="false">
      <c r="A3" s="1" t="s">
        <v>607</v>
      </c>
      <c r="B3" s="1" t="s">
        <v>608</v>
      </c>
      <c r="C3" s="1" t="s">
        <v>609</v>
      </c>
      <c r="D3" s="1" t="s">
        <v>610</v>
      </c>
      <c r="E3" s="1" t="s">
        <v>611</v>
      </c>
      <c r="F3" s="1" t="s">
        <v>612</v>
      </c>
      <c r="G3" s="1" t="s">
        <v>6</v>
      </c>
      <c r="H3" s="1" t="s">
        <v>613</v>
      </c>
      <c r="I3" s="1" t="s">
        <v>614</v>
      </c>
      <c r="J3" s="1" t="s">
        <v>602</v>
      </c>
      <c r="K3" s="1" t="s">
        <v>615</v>
      </c>
      <c r="L3" s="1" t="s">
        <v>616</v>
      </c>
    </row>
    <row r="4" customFormat="false" ht="15" hidden="false" customHeight="false" outlineLevel="0" collapsed="false">
      <c r="A4" s="0" t="n">
        <v>1</v>
      </c>
      <c r="B4" s="0" t="s">
        <v>30</v>
      </c>
      <c r="C4" s="0" t="s">
        <v>29</v>
      </c>
      <c r="D4" s="6" t="n">
        <v>46054</v>
      </c>
      <c r="E4" s="3" t="s">
        <v>32</v>
      </c>
      <c r="F4" s="3" t="s">
        <v>33</v>
      </c>
      <c r="G4" s="0" t="n">
        <v>105</v>
      </c>
      <c r="H4" s="0" t="n">
        <v>2036.9</v>
      </c>
      <c r="I4" s="0" t="n">
        <v>2240.84</v>
      </c>
      <c r="J4" s="3" t="s">
        <v>40</v>
      </c>
      <c r="K4" s="0" t="n">
        <v>3.1</v>
      </c>
      <c r="L4" s="4" t="n">
        <f aca="false">I4*K4*1.18</f>
        <v>8196.99272</v>
      </c>
    </row>
    <row r="5" customFormat="false" ht="15" hidden="false" customHeight="false" outlineLevel="0" collapsed="false">
      <c r="A5" s="0" t="n">
        <v>2</v>
      </c>
      <c r="B5" s="0" t="s">
        <v>42</v>
      </c>
      <c r="C5" s="0" t="s">
        <v>41</v>
      </c>
      <c r="D5" s="6" t="n">
        <v>46054</v>
      </c>
      <c r="E5" s="3" t="s">
        <v>32</v>
      </c>
      <c r="F5" s="3" t="s">
        <v>33</v>
      </c>
      <c r="G5" s="0" t="n">
        <v>172</v>
      </c>
      <c r="H5" s="0" t="n">
        <v>362.55</v>
      </c>
      <c r="I5" s="0" t="n">
        <v>399.08</v>
      </c>
      <c r="J5" s="3" t="s">
        <v>40</v>
      </c>
      <c r="K5" s="0" t="n">
        <v>3.1</v>
      </c>
      <c r="L5" s="4" t="n">
        <f aca="false">I5*K5*1.18</f>
        <v>1459.83464</v>
      </c>
    </row>
    <row r="6" customFormat="false" ht="15" hidden="false" customHeight="false" outlineLevel="0" collapsed="false">
      <c r="A6" s="0" t="n">
        <v>3</v>
      </c>
      <c r="B6" s="0" t="s">
        <v>49</v>
      </c>
      <c r="C6" s="0" t="s">
        <v>41</v>
      </c>
      <c r="D6" s="6" t="n">
        <v>46054</v>
      </c>
      <c r="E6" s="3" t="s">
        <v>32</v>
      </c>
      <c r="F6" s="3" t="s">
        <v>51</v>
      </c>
      <c r="G6" s="0" t="n">
        <v>3</v>
      </c>
      <c r="H6" s="0" t="n">
        <v>217.51</v>
      </c>
      <c r="I6" s="0" t="n">
        <v>282.98</v>
      </c>
      <c r="J6" s="3" t="s">
        <v>40</v>
      </c>
      <c r="K6" s="0" t="n">
        <v>3.1</v>
      </c>
      <c r="L6" s="4" t="n">
        <f aca="false">I6*K6*1.18</f>
        <v>1035.14084</v>
      </c>
    </row>
    <row r="7" customFormat="false" ht="15" hidden="false" customHeight="false" outlineLevel="0" collapsed="false">
      <c r="A7" s="0" t="n">
        <v>4</v>
      </c>
      <c r="B7" s="0" t="s">
        <v>58</v>
      </c>
      <c r="C7" s="0" t="s">
        <v>29</v>
      </c>
      <c r="D7" s="6" t="n">
        <v>46055</v>
      </c>
      <c r="E7" s="3" t="s">
        <v>32</v>
      </c>
      <c r="F7" s="3" t="s">
        <v>51</v>
      </c>
      <c r="G7" s="0" t="n">
        <v>51</v>
      </c>
      <c r="H7" s="0" t="n">
        <v>2402.39</v>
      </c>
      <c r="I7" s="0" t="n">
        <v>2402.86</v>
      </c>
      <c r="J7" s="3" t="s">
        <v>40</v>
      </c>
      <c r="K7" s="0" t="n">
        <v>3.1</v>
      </c>
      <c r="L7" s="4" t="n">
        <f aca="false">I7*K7*1.18</f>
        <v>8789.66188</v>
      </c>
    </row>
    <row r="8" customFormat="false" ht="15" hidden="false" customHeight="false" outlineLevel="0" collapsed="false">
      <c r="A8" s="0" t="n">
        <v>5</v>
      </c>
      <c r="B8" s="0" t="s">
        <v>63</v>
      </c>
      <c r="C8" s="0" t="s">
        <v>29</v>
      </c>
      <c r="D8" s="6" t="n">
        <v>46055</v>
      </c>
      <c r="E8" s="3" t="s">
        <v>32</v>
      </c>
      <c r="F8" s="3" t="s">
        <v>33</v>
      </c>
      <c r="G8" s="0" t="n">
        <v>209</v>
      </c>
      <c r="H8" s="0" t="n">
        <v>1681.46</v>
      </c>
      <c r="I8" s="0" t="n">
        <v>1681.85</v>
      </c>
      <c r="J8" s="3" t="s">
        <v>40</v>
      </c>
      <c r="K8" s="0" t="n">
        <v>3.1</v>
      </c>
      <c r="L8" s="4" t="n">
        <f aca="false">I8*K8*1.18</f>
        <v>6152.2073</v>
      </c>
    </row>
    <row r="9" customFormat="false" ht="15" hidden="false" customHeight="false" outlineLevel="0" collapsed="false">
      <c r="A9" s="0" t="n">
        <v>6</v>
      </c>
      <c r="B9" s="0" t="s">
        <v>70</v>
      </c>
      <c r="C9" s="0" t="s">
        <v>41</v>
      </c>
      <c r="D9" s="6" t="n">
        <v>46055</v>
      </c>
      <c r="E9" s="3" t="s">
        <v>32</v>
      </c>
      <c r="F9" s="3" t="s">
        <v>33</v>
      </c>
      <c r="G9" s="0" t="n">
        <v>105</v>
      </c>
      <c r="H9" s="0" t="n">
        <v>1516.75</v>
      </c>
      <c r="I9" s="0" t="n">
        <v>2275.54</v>
      </c>
      <c r="J9" s="3" t="s">
        <v>40</v>
      </c>
      <c r="K9" s="0" t="n">
        <v>3.1</v>
      </c>
      <c r="L9" s="4" t="n">
        <f aca="false">I9*K9*1.18</f>
        <v>8323.92532</v>
      </c>
    </row>
    <row r="10" customFormat="false" ht="15" hidden="false" customHeight="false" outlineLevel="0" collapsed="false">
      <c r="A10" s="0" t="n">
        <v>7</v>
      </c>
      <c r="B10" s="0" t="s">
        <v>77</v>
      </c>
      <c r="C10" s="0" t="s">
        <v>41</v>
      </c>
      <c r="D10" s="6" t="n">
        <v>46055</v>
      </c>
      <c r="E10" s="3" t="s">
        <v>32</v>
      </c>
      <c r="F10" s="3" t="s">
        <v>33</v>
      </c>
      <c r="G10" s="0" t="n">
        <v>132</v>
      </c>
      <c r="H10" s="0" t="n">
        <v>2082.18</v>
      </c>
      <c r="I10" s="0" t="n">
        <v>3123.35</v>
      </c>
      <c r="J10" s="3" t="s">
        <v>40</v>
      </c>
      <c r="K10" s="0" t="n">
        <v>3.1</v>
      </c>
      <c r="L10" s="4" t="n">
        <f aca="false">I10*K10*1.18</f>
        <v>11425.2143</v>
      </c>
    </row>
    <row r="11" customFormat="false" ht="15" hidden="false" customHeight="false" outlineLevel="0" collapsed="false">
      <c r="A11" s="0" t="n">
        <v>8</v>
      </c>
      <c r="B11" s="0" t="s">
        <v>84</v>
      </c>
      <c r="C11" s="0" t="s">
        <v>29</v>
      </c>
      <c r="D11" s="6" t="n">
        <v>46056</v>
      </c>
      <c r="E11" s="3" t="s">
        <v>32</v>
      </c>
      <c r="F11" s="3" t="s">
        <v>85</v>
      </c>
      <c r="G11" s="0" t="n">
        <v>122</v>
      </c>
      <c r="H11" s="0" t="n">
        <v>2438.73</v>
      </c>
      <c r="I11" s="0" t="n">
        <v>3170.42</v>
      </c>
      <c r="J11" s="3" t="s">
        <v>92</v>
      </c>
      <c r="K11" s="0" t="n">
        <v>3.1</v>
      </c>
      <c r="L11" s="4" t="n">
        <f aca="false">I11*K11*1.18</f>
        <v>11597.39636</v>
      </c>
    </row>
    <row r="12" customFormat="false" ht="15" hidden="false" customHeight="false" outlineLevel="0" collapsed="false">
      <c r="A12" s="0" t="n">
        <v>9</v>
      </c>
      <c r="B12" s="0" t="s">
        <v>93</v>
      </c>
      <c r="C12" s="0" t="s">
        <v>29</v>
      </c>
      <c r="D12" s="6" t="n">
        <v>46056</v>
      </c>
      <c r="E12" s="3" t="s">
        <v>32</v>
      </c>
      <c r="F12" s="3" t="s">
        <v>85</v>
      </c>
      <c r="G12" s="0" t="n">
        <v>182</v>
      </c>
      <c r="H12" s="0" t="n">
        <v>1724.2</v>
      </c>
      <c r="I12" s="0" t="n">
        <v>2586.74</v>
      </c>
      <c r="J12" s="3" t="s">
        <v>100</v>
      </c>
      <c r="K12" s="0" t="n">
        <v>3.1</v>
      </c>
      <c r="L12" s="4" t="n">
        <f aca="false">I12*K12*1.18</f>
        <v>9462.29492</v>
      </c>
    </row>
    <row r="13" customFormat="false" ht="15" hidden="false" customHeight="false" outlineLevel="0" collapsed="false">
      <c r="A13" s="0" t="n">
        <v>10</v>
      </c>
      <c r="B13" s="0" t="s">
        <v>101</v>
      </c>
      <c r="C13" s="0" t="s">
        <v>41</v>
      </c>
      <c r="D13" s="6" t="n">
        <v>46056</v>
      </c>
      <c r="E13" s="3" t="s">
        <v>32</v>
      </c>
      <c r="F13" s="3" t="s">
        <v>51</v>
      </c>
      <c r="G13" s="0" t="n">
        <v>171</v>
      </c>
      <c r="H13" s="0" t="n">
        <v>1220.17</v>
      </c>
      <c r="I13" s="0" t="n">
        <v>1220.31</v>
      </c>
      <c r="J13" s="3" t="s">
        <v>92</v>
      </c>
      <c r="K13" s="0" t="n">
        <v>3.1</v>
      </c>
      <c r="L13" s="4" t="n">
        <f aca="false">I13*K13*1.18</f>
        <v>4463.89398</v>
      </c>
    </row>
    <row r="14" customFormat="false" ht="15" hidden="false" customHeight="false" outlineLevel="0" collapsed="false">
      <c r="A14" s="0" t="n">
        <v>11</v>
      </c>
      <c r="B14" s="0" t="s">
        <v>107</v>
      </c>
      <c r="C14" s="0" t="s">
        <v>41</v>
      </c>
      <c r="D14" s="6" t="n">
        <v>46056</v>
      </c>
      <c r="E14" s="3" t="s">
        <v>32</v>
      </c>
      <c r="F14" s="3" t="s">
        <v>85</v>
      </c>
      <c r="G14" s="0" t="n">
        <v>174</v>
      </c>
      <c r="H14" s="0" t="n">
        <v>2476.23</v>
      </c>
      <c r="I14" s="0" t="n">
        <v>2476.48</v>
      </c>
      <c r="J14" s="3" t="s">
        <v>92</v>
      </c>
      <c r="K14" s="0" t="n">
        <v>3.1</v>
      </c>
      <c r="L14" s="4" t="n">
        <f aca="false">I14*K14*1.18</f>
        <v>9058.96384</v>
      </c>
    </row>
    <row r="15" customFormat="false" ht="15" hidden="false" customHeight="false" outlineLevel="0" collapsed="false">
      <c r="A15" s="0" t="n">
        <v>12</v>
      </c>
      <c r="B15" s="0" t="s">
        <v>114</v>
      </c>
      <c r="C15" s="0" t="s">
        <v>29</v>
      </c>
      <c r="D15" s="6" t="n">
        <v>46057</v>
      </c>
      <c r="E15" s="3" t="s">
        <v>32</v>
      </c>
      <c r="F15" s="3" t="s">
        <v>51</v>
      </c>
      <c r="G15" s="0" t="n">
        <v>40</v>
      </c>
      <c r="H15" s="0" t="n">
        <v>2138.42</v>
      </c>
      <c r="I15" s="0" t="n">
        <v>3208.04</v>
      </c>
      <c r="J15" s="3" t="s">
        <v>40</v>
      </c>
      <c r="K15" s="0" t="n">
        <v>3.1</v>
      </c>
      <c r="L15" s="4" t="n">
        <f aca="false">I15*K15*1.18</f>
        <v>11735.01032</v>
      </c>
    </row>
    <row r="16" customFormat="false" ht="15" hidden="false" customHeight="false" outlineLevel="0" collapsed="false">
      <c r="A16" s="0" t="n">
        <v>13</v>
      </c>
      <c r="B16" s="0" t="s">
        <v>120</v>
      </c>
      <c r="C16" s="0" t="s">
        <v>29</v>
      </c>
      <c r="D16" s="6" t="n">
        <v>46057</v>
      </c>
      <c r="E16" s="3" t="s">
        <v>32</v>
      </c>
      <c r="F16" s="3" t="s">
        <v>33</v>
      </c>
      <c r="G16" s="0" t="n">
        <v>17</v>
      </c>
      <c r="H16" s="0" t="n">
        <v>548.13</v>
      </c>
      <c r="I16" s="0" t="n">
        <v>548.47</v>
      </c>
      <c r="J16" s="3" t="s">
        <v>40</v>
      </c>
      <c r="K16" s="0" t="n">
        <v>3.1</v>
      </c>
      <c r="L16" s="4" t="n">
        <f aca="false">I16*K16*1.18</f>
        <v>2006.30326</v>
      </c>
    </row>
    <row r="17" customFormat="false" ht="15" hidden="false" customHeight="false" outlineLevel="0" collapsed="false">
      <c r="A17" s="0" t="n">
        <v>14</v>
      </c>
      <c r="B17" s="0" t="s">
        <v>126</v>
      </c>
      <c r="C17" s="0" t="s">
        <v>29</v>
      </c>
      <c r="D17" s="6" t="n">
        <v>46058</v>
      </c>
      <c r="E17" s="3" t="s">
        <v>32</v>
      </c>
      <c r="F17" s="3" t="s">
        <v>33</v>
      </c>
      <c r="G17" s="0" t="n">
        <v>207</v>
      </c>
      <c r="H17" s="0" t="n">
        <v>2799.99</v>
      </c>
      <c r="I17" s="0" t="n">
        <v>3640.13</v>
      </c>
      <c r="J17" s="3" t="s">
        <v>40</v>
      </c>
      <c r="K17" s="0" t="n">
        <v>3.1</v>
      </c>
      <c r="L17" s="4" t="n">
        <f aca="false">I17*K17*1.18</f>
        <v>13315.59554</v>
      </c>
    </row>
    <row r="18" customFormat="false" ht="15" hidden="false" customHeight="false" outlineLevel="0" collapsed="false">
      <c r="I18" s="7" t="s">
        <v>617</v>
      </c>
      <c r="L18" s="7" t="n">
        <f aca="false">SUM(L4:L17)</f>
        <v>107022.43522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618</v>
      </c>
    </row>
    <row r="3" customFormat="false" ht="15" hidden="false" customHeight="false" outlineLevel="0" collapsed="false">
      <c r="A3" s="1" t="s">
        <v>619</v>
      </c>
      <c r="B3" s="1" t="s">
        <v>40</v>
      </c>
      <c r="C3" s="1" t="s">
        <v>100</v>
      </c>
      <c r="D3" s="1" t="s">
        <v>620</v>
      </c>
      <c r="E3" s="1" t="s">
        <v>621</v>
      </c>
    </row>
    <row r="4" customFormat="false" ht="15" hidden="false" customHeight="false" outlineLevel="0" collapsed="false">
      <c r="A4" s="0" t="s">
        <v>622</v>
      </c>
      <c r="B4" s="0" t="n">
        <v>3.1</v>
      </c>
      <c r="C4" s="0" t="n">
        <v>5.1</v>
      </c>
      <c r="D4" s="0" t="n">
        <v>3.55</v>
      </c>
    </row>
    <row r="5" customFormat="false" ht="15" hidden="false" customHeight="false" outlineLevel="0" collapsed="false">
      <c r="A5" s="0" t="s">
        <v>623</v>
      </c>
      <c r="B5" s="0" t="n">
        <v>2.05</v>
      </c>
      <c r="C5" s="0" t="n">
        <v>2.05</v>
      </c>
      <c r="D5" s="0" t="n">
        <v>2.05</v>
      </c>
      <c r="E5" s="0" t="n">
        <v>2.05</v>
      </c>
    </row>
    <row r="6" customFormat="false" ht="15" hidden="false" customHeight="false" outlineLevel="0" collapsed="false">
      <c r="A6" s="0" t="s">
        <v>624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625</v>
      </c>
      <c r="B8" s="1" t="s">
        <v>615</v>
      </c>
    </row>
    <row r="9" customFormat="false" ht="15" hidden="false" customHeight="false" outlineLevel="0" collapsed="false">
      <c r="A9" s="0" t="s">
        <v>40</v>
      </c>
      <c r="B9" s="0" t="n">
        <v>3</v>
      </c>
    </row>
    <row r="10" customFormat="false" ht="15" hidden="false" customHeight="false" outlineLevel="0" collapsed="false">
      <c r="A10" s="0" t="s">
        <v>100</v>
      </c>
      <c r="B10" s="0" t="n">
        <v>3</v>
      </c>
    </row>
    <row r="11" customFormat="false" ht="15" hidden="false" customHeight="false" outlineLevel="0" collapsed="false">
      <c r="A11" s="0" t="s">
        <v>151</v>
      </c>
      <c r="B11" s="0" t="n">
        <v>3</v>
      </c>
    </row>
    <row r="12" customFormat="false" ht="15" hidden="false" customHeight="false" outlineLevel="0" collapsed="false">
      <c r="A12" s="0" t="s">
        <v>92</v>
      </c>
      <c r="B12" s="0" t="n">
        <v>5</v>
      </c>
    </row>
    <row r="13" customFormat="false" ht="15" hidden="false" customHeight="false" outlineLevel="0" collapsed="false">
      <c r="A13" s="0" t="s">
        <v>144</v>
      </c>
      <c r="B13" s="0" t="n">
        <v>5</v>
      </c>
    </row>
    <row r="14" customFormat="false" ht="15" hidden="false" customHeight="false" outlineLevel="0" collapsed="false">
      <c r="A14" s="0" t="s">
        <v>567</v>
      </c>
      <c r="B14" s="0" t="n">
        <v>12</v>
      </c>
    </row>
    <row r="15" customFormat="false" ht="15" hidden="false" customHeight="false" outlineLevel="0" collapsed="false">
      <c r="A15" s="0" t="s">
        <v>520</v>
      </c>
      <c r="B15" s="0" t="n">
        <v>12</v>
      </c>
    </row>
    <row r="16" customFormat="false" ht="15" hidden="false" customHeight="false" outlineLevel="0" collapsed="false">
      <c r="A16" s="0" t="s">
        <v>449</v>
      </c>
      <c r="B16" s="0" t="n">
        <v>5</v>
      </c>
    </row>
    <row r="17" customFormat="false" ht="15" hidden="false" customHeight="false" outlineLevel="0" collapsed="false">
      <c r="A17" s="0" t="s">
        <v>626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5" t="s">
        <v>627</v>
      </c>
    </row>
    <row r="2" customFormat="false" ht="23.85" hidden="false" customHeight="false" outlineLevel="0" collapsed="false">
      <c r="A2" s="1" t="s">
        <v>628</v>
      </c>
      <c r="B2" s="1" t="s">
        <v>587</v>
      </c>
      <c r="C2" s="1" t="s">
        <v>629</v>
      </c>
      <c r="D2" s="1" t="s">
        <v>589</v>
      </c>
      <c r="E2" s="1" t="s">
        <v>630</v>
      </c>
      <c r="F2" s="1" t="s">
        <v>631</v>
      </c>
      <c r="G2" s="1" t="s">
        <v>632</v>
      </c>
      <c r="H2" s="1" t="s">
        <v>633</v>
      </c>
      <c r="I2" s="1" t="s">
        <v>634</v>
      </c>
    </row>
    <row r="3" customFormat="false" ht="15" hidden="false" customHeight="false" outlineLevel="0" collapsed="false">
      <c r="A3" s="0" t="n">
        <v>1</v>
      </c>
      <c r="B3" s="6" t="n">
        <v>46054</v>
      </c>
      <c r="C3" s="3" t="s">
        <v>29</v>
      </c>
      <c r="D3" s="3" t="s">
        <v>635</v>
      </c>
      <c r="E3" s="3" t="s">
        <v>636</v>
      </c>
      <c r="F3" s="3" t="s">
        <v>637</v>
      </c>
      <c r="G3" s="3" t="s">
        <v>638</v>
      </c>
      <c r="H3" s="4" t="n">
        <v>1195845.12</v>
      </c>
      <c r="I3" s="4" t="n">
        <f aca="false">H3*1.18</f>
        <v>1411097.2416</v>
      </c>
    </row>
    <row r="4" customFormat="false" ht="15" hidden="false" customHeight="false" outlineLevel="0" collapsed="false">
      <c r="A4" s="0" t="n">
        <v>2</v>
      </c>
      <c r="B4" s="6" t="n">
        <v>46054</v>
      </c>
      <c r="C4" s="3" t="s">
        <v>29</v>
      </c>
      <c r="D4" s="3" t="s">
        <v>639</v>
      </c>
      <c r="E4" s="3" t="s">
        <v>636</v>
      </c>
      <c r="F4" s="3" t="s">
        <v>637</v>
      </c>
      <c r="G4" s="3" t="s">
        <v>638</v>
      </c>
      <c r="H4" s="4" t="n">
        <v>1195845.12</v>
      </c>
      <c r="I4" s="4" t="n">
        <f aca="false">H4*1.18</f>
        <v>1411097.2416</v>
      </c>
    </row>
    <row r="5" customFormat="false" ht="15" hidden="false" customHeight="false" outlineLevel="0" collapsed="false">
      <c r="F5" s="7" t="s">
        <v>597</v>
      </c>
      <c r="H5" s="7" t="n">
        <f aca="false">SUM(H3:H4)</f>
        <v>2391690.24</v>
      </c>
      <c r="I5" s="7" t="n">
        <f aca="false">SUM(I3:I4)</f>
        <v>2822194.4832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