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port" sheetId="2" state="visible" r:id="rId4"/>
    <sheet name="Import" sheetId="3" state="visible" r:id="rId5"/>
    <sheet name="Month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<sst xmlns="http://schemas.openxmlformats.org/spreadsheetml/2006/main" count="94" uniqueCount="51">
  <si>
    <t xml:space="preserve">DCSC MIS CONSOLIDATION — TARGET OUTPUT TEMPLATE</t>
  </si>
  <si>
    <t xml:space="preserve">This workbook shows the SHAPE your consolidation tool should produce.</t>
  </si>
  <si>
    <t xml:space="preserve">All source data in this pack is DUMMY/synthetic — no real client data.</t>
  </si>
  <si>
    <t xml:space="preserve">Required sheets in your output:</t>
  </si>
  <si>
    <t xml:space="preserve">  1. Export        — one row per AWB line item, all export source files merged.</t>
  </si>
  <si>
    <t xml:space="preserve">  2. Import        — one row per AWB line item, all import source files merged.</t>
  </si>
  <si>
    <t xml:space="preserve">  3. Month_Summary — totals by Airline x Month x Direction (see example).</t>
  </si>
  <si>
    <t xml:space="preserve">Keys: (Direction, Airline, Month, Fortnight, AWB No, Sfx) should be unique.</t>
  </si>
  <si>
    <t xml:space="preserve">Amount columns must foot back to each source file's Service Challan / SC totals.</t>
  </si>
  <si>
    <t xml:space="preserve">Direction</t>
  </si>
  <si>
    <t xml:space="preserve">Airline</t>
  </si>
  <si>
    <t xml:space="preserve">Month</t>
  </si>
  <si>
    <t xml:space="preserve">Fortnight</t>
  </si>
  <si>
    <t xml:space="preserve">Source File</t>
  </si>
  <si>
    <t xml:space="preserve">Flight No</t>
  </si>
  <si>
    <t xml:space="preserve">Flight Date</t>
  </si>
  <si>
    <t xml:space="preserve">AWB No</t>
  </si>
  <si>
    <t xml:space="preserve">Sfx</t>
  </si>
  <si>
    <t xml:space="preserve">Origin</t>
  </si>
  <si>
    <t xml:space="preserve">Dest</t>
  </si>
  <si>
    <t xml:space="preserve">Pcs</t>
  </si>
  <si>
    <t xml:space="preserve">Gross Wt</t>
  </si>
  <si>
    <t xml:space="preserve">Chg Wt</t>
  </si>
  <si>
    <t xml:space="preserve">Billing SHC</t>
  </si>
  <si>
    <t xml:space="preserve">Handling Amt (Incl GST)</t>
  </si>
  <si>
    <t xml:space="preserve">X-Ray Amt (Incl GST)</t>
  </si>
  <si>
    <t xml:space="preserve">Demurrage Amt (Incl GST)</t>
  </si>
  <si>
    <t xml:space="preserve">Total Amt (Incl GST)</t>
  </si>
  <si>
    <t xml:space="preserve">EXP</t>
  </si>
  <si>
    <t xml:space="preserve">AY</t>
  </si>
  <si>
    <t xml:space="preserve">FEB'2026</t>
  </si>
  <si>
    <t xml:space="preserve">01-15</t>
  </si>
  <si>
    <t xml:space="preserve">AY EXPORT FEB'2026 (01-15).xlsx</t>
  </si>
  <si>
    <t xml:space="preserve">AY0560</t>
  </si>
  <si>
    <t xml:space="preserve">771-45023188</t>
  </si>
  <si>
    <t xml:space="preserve">P</t>
  </si>
  <si>
    <t xml:space="preserve">DEL</t>
  </si>
  <si>
    <t xml:space="preserve">HEL</t>
  </si>
  <si>
    <t xml:space="preserve">GEN</t>
  </si>
  <si>
    <t xml:space="preserve">… (your consolidated rows here) …</t>
  </si>
  <si>
    <t xml:space="preserve">IMP</t>
  </si>
  <si>
    <t xml:space="preserve">AY IMPORT FEB'2026 (01-15).xlsx</t>
  </si>
  <si>
    <t xml:space="preserve">AWB Count</t>
  </si>
  <si>
    <t xml:space="preserve">Total Pcs</t>
  </si>
  <si>
    <t xml:space="preserve">Total Chg Wt</t>
  </si>
  <si>
    <t xml:space="preserve">EXPORT</t>
  </si>
  <si>
    <t xml:space="preserve">JAN'2026</t>
  </si>
  <si>
    <t xml:space="preserve">IMPORT</t>
  </si>
  <si>
    <t xml:space="preserve">SQ</t>
  </si>
  <si>
    <t xml:space="preserve">SZ</t>
  </si>
  <si>
    <t xml:space="preserve">↑ example — replace with pivot/SUMIFS over your Export &amp; Import sheets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</si>
</sst>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1"/>
    <col collapsed="false" customWidth="true" hidden="false" outlineLevel="0" max="5" min="5" style="1" width="34"/>
    <col collapsed="false" customWidth="true" hidden="false" outlineLevel="0" max="7" min="6" style="1" width="11"/>
    <col collapsed="false" customWidth="true" hidden="false" outlineLevel="0" max="8" min="8" style="1" width="15"/>
    <col collapsed="false" customWidth="true" hidden="false" outlineLevel="0" max="15" min="9" style="1" width="11"/>
    <col collapsed="false" customWidth="true" hidden="false" outlineLevel="0" max="17" min="16" style="1" width="20"/>
    <col collapsed="false" customWidth="true" hidden="false" outlineLevel="0" max="18" min="18" style="1" width="22"/>
    <col collapsed="false" customWidth="true" hidden="false" outlineLevel="0" max="19" min="19" style="1" width="20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 customFormat="false" ht="15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5" t="n">
        <v>46057</v>
      </c>
      <c r="H2" s="6" t="s">
        <v>34</v>
      </c>
      <c r="I2" s="6" t="s">
        <v>35</v>
      </c>
      <c r="J2" s="6" t="s">
        <v>36</v>
      </c>
      <c r="K2" s="6" t="s">
        <v>37</v>
      </c>
      <c r="L2" s="1" t="n">
        <v>39</v>
      </c>
      <c r="M2" s="1" t="n">
        <v>342</v>
      </c>
      <c r="N2" s="1" t="n">
        <v>456</v>
      </c>
      <c r="O2" s="6" t="s">
        <v>38</v>
      </c>
      <c r="P2" s="7" t="n">
        <v>1748.4</v>
      </c>
      <c r="Q2" s="7" t="n">
        <v>936.6</v>
      </c>
      <c r="R2" s="7" t="n">
        <v>0</v>
      </c>
      <c r="S2" s="7" t="n">
        <f aca="false">SUM(P2:R2)</f>
        <v>2685</v>
      </c>
    </row>
    <row r="3" customFormat="false" ht="15" hidden="false" customHeight="false" outlineLevel="0" collapsed="false">
      <c r="A3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1"/>
    <col collapsed="false" customWidth="true" hidden="false" outlineLevel="0" max="5" min="5" style="1" width="34"/>
    <col collapsed="false" customWidth="true" hidden="false" outlineLevel="0" max="7" min="6" style="1" width="11"/>
    <col collapsed="false" customWidth="true" hidden="false" outlineLevel="0" max="8" min="8" style="1" width="15"/>
    <col collapsed="false" customWidth="true" hidden="false" outlineLevel="0" max="15" min="9" style="1" width="11"/>
    <col collapsed="false" customWidth="true" hidden="false" outlineLevel="0" max="17" min="16" style="1" width="20"/>
    <col collapsed="false" customWidth="true" hidden="false" outlineLevel="0" max="18" min="18" style="1" width="22"/>
    <col collapsed="false" customWidth="true" hidden="false" outlineLevel="0" max="19" min="19" style="1" width="20"/>
  </cols>
  <sheetData>
    <row r="1" customFormat="false" ht="23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 customFormat="false" ht="15" hidden="false" customHeight="false" outlineLevel="0" collapsed="false">
      <c r="A2" s="1" t="s">
        <v>40</v>
      </c>
      <c r="B2" s="1" t="s">
        <v>29</v>
      </c>
      <c r="C2" s="1" t="s">
        <v>30</v>
      </c>
      <c r="D2" s="1" t="s">
        <v>31</v>
      </c>
      <c r="E2" s="1" t="s">
        <v>41</v>
      </c>
      <c r="F2" s="1" t="s">
        <v>33</v>
      </c>
      <c r="G2" s="5" t="n">
        <v>46057</v>
      </c>
      <c r="H2" s="6" t="s">
        <v>34</v>
      </c>
      <c r="I2" s="6" t="s">
        <v>35</v>
      </c>
      <c r="J2" s="6" t="s">
        <v>37</v>
      </c>
      <c r="K2" s="6" t="s">
        <v>36</v>
      </c>
      <c r="L2" s="1" t="n">
        <v>39</v>
      </c>
      <c r="M2" s="1" t="n">
        <v>342</v>
      </c>
      <c r="N2" s="1" t="n">
        <v>456</v>
      </c>
      <c r="O2" s="6" t="s">
        <v>38</v>
      </c>
      <c r="P2" s="7" t="n">
        <v>1748.4</v>
      </c>
      <c r="Q2" s="7" t="n">
        <v>936.6</v>
      </c>
      <c r="R2" s="7" t="n">
        <v>0</v>
      </c>
      <c r="S2" s="7" t="n">
        <f aca="false">SUM(P2:R2)</f>
        <v>2685</v>
      </c>
    </row>
    <row r="3" customFormat="false" ht="15" hidden="false" customHeight="false" outlineLevel="0" collapsed="false">
      <c r="A3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4" t="s">
        <v>10</v>
      </c>
      <c r="B1" s="4" t="s">
        <v>9</v>
      </c>
      <c r="C1" s="4" t="s">
        <v>11</v>
      </c>
      <c r="D1" s="4" t="s">
        <v>42</v>
      </c>
      <c r="E1" s="4" t="s">
        <v>43</v>
      </c>
      <c r="F1" s="4" t="s">
        <v>44</v>
      </c>
      <c r="G1" s="4" t="s">
        <v>27</v>
      </c>
    </row>
    <row r="2" customFormat="false" ht="15" hidden="false" customHeight="false" outlineLevel="0" collapsed="false">
      <c r="A2" s="1" t="s">
        <v>29</v>
      </c>
      <c r="B2" s="1" t="s">
        <v>45</v>
      </c>
      <c r="C2" s="1" t="s">
        <v>46</v>
      </c>
      <c r="D2" s="1" t="n">
        <f aca="false">COUNTIFS(Export!$B:$B,A2,Export!$C:$C,C2)</f>
        <v>0</v>
      </c>
    </row>
    <row r="3" customFormat="false" ht="15" hidden="false" customHeight="false" outlineLevel="0" collapsed="false">
      <c r="A3" s="1" t="s">
        <v>29</v>
      </c>
      <c r="B3" s="1" t="s">
        <v>45</v>
      </c>
      <c r="C3" s="1" t="s">
        <v>30</v>
      </c>
      <c r="D3" s="1" t="n">
        <f aca="false">COUNTIFS(Export!$B:$B,A3,Export!$C:$C,C3)</f>
        <v>1</v>
      </c>
    </row>
    <row r="4" customFormat="false" ht="15" hidden="false" customHeight="false" outlineLevel="0" collapsed="false">
      <c r="A4" s="1" t="s">
        <v>29</v>
      </c>
      <c r="B4" s="1" t="s">
        <v>47</v>
      </c>
      <c r="C4" s="1" t="s">
        <v>30</v>
      </c>
      <c r="D4" s="1" t="n">
        <f aca="false">COUNTIFS(Export!$B:$B,A4,Export!$C:$C,C4)</f>
        <v>1</v>
      </c>
    </row>
    <row r="5" customFormat="false" ht="15" hidden="false" customHeight="false" outlineLevel="0" collapsed="false">
      <c r="A5" s="1" t="s">
        <v>48</v>
      </c>
      <c r="B5" s="1" t="s">
        <v>45</v>
      </c>
      <c r="C5" s="1" t="s">
        <v>30</v>
      </c>
      <c r="D5" s="1" t="n">
        <f aca="false">COUNTIFS(Export!$B:$B,A5,Export!$C:$C,C5)</f>
        <v>0</v>
      </c>
    </row>
    <row r="6" customFormat="false" ht="15" hidden="false" customHeight="false" outlineLevel="0" collapsed="false">
      <c r="A6" s="1" t="s">
        <v>49</v>
      </c>
      <c r="B6" s="1" t="s">
        <v>45</v>
      </c>
      <c r="C6" s="1" t="s">
        <v>30</v>
      </c>
      <c r="D6" s="1" t="n">
        <f aca="false">COUNTIFS(Export!$B:$B,A6,Export!$C:$C,C6)</f>
        <v>0</v>
      </c>
    </row>
    <row r="7" customFormat="false" ht="15" hidden="false" customHeight="false" outlineLevel="0" collapsed="false">
      <c r="A7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