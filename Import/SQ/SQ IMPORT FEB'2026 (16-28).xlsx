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SERVICE CHALLAN" sheetId="2" state="visible" r:id="rId4"/>
    <sheet name="DEMURRAGE" sheetId="3" state="visible" r:id="rId5"/>
    <sheet name="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<sst xmlns="http://schemas.openxmlformats.org/spreadsheetml/2006/main" count="1317" uniqueCount="497">
  <si>
    <t xml:space="preserve">S.NO.</t>
  </si>
  <si>
    <t xml:space="preserve">FLT NO.</t>
  </si>
  <si>
    <t xml:space="preserve">FLT DATE</t>
  </si>
  <si>
    <t xml:space="preserve">MAWB No</t>
  </si>
  <si>
    <t xml:space="preserve">HAWB No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</si>
  <si>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</si>
  <si>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</si>
  <si>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</si>
  <si>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</si>
  <si>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</si>
  <si>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ARRIVAL DATE</t>
  </si>
  <si>
    <t xml:space="preserve">ARRIVAL TIME</t>
  </si>
  <si>
    <t xml:space="preserve">SEGREGATION DATE</t>
  </si>
  <si>
    <t xml:space="preserve">SEGREGATION TIME</t>
  </si>
  <si>
    <t xml:space="preserve">DO DATE</t>
  </si>
  <si>
    <t xml:space="preserve">DO TIME</t>
  </si>
  <si>
    <t xml:space="preserve">GATE-OUT DATE</t>
  </si>
  <si>
    <t xml:space="preserve">GATE-OUT TIME</t>
  </si>
  <si>
    <t xml:space="preserve">NOG</t>
  </si>
  <si>
    <t xml:space="preserve">SHC</t>
  </si>
  <si>
    <t xml:space="preserve">Billing SHC</t>
  </si>
  <si>
    <t xml:space="preserve">FREE DAYS</t>
  </si>
  <si>
    <t xml:space="preserve">DEM DAYS</t>
  </si>
  <si>
    <t xml:space="preserve">RATE</t>
  </si>
  <si>
    <t xml:space="preserve">AMNT</t>
  </si>
  <si>
    <t xml:space="preserve">GROSS AMNT</t>
  </si>
  <si>
    <t xml:space="preserve">SQ0712</t>
  </si>
  <si>
    <t xml:space="preserve">773-33622194</t>
  </si>
  <si>
    <t xml:space="preserve">H596772</t>
  </si>
  <si>
    <t xml:space="preserve">CGK</t>
  </si>
  <si>
    <t xml:space="preserve">DEL</t>
  </si>
  <si>
    <t xml:space="preserve">14:45:00</t>
  </si>
  <si>
    <t xml:space="preserve">05:02:00</t>
  </si>
  <si>
    <t xml:space="preserve">03:08:00</t>
  </si>
  <si>
    <t xml:space="preserve">00:37:00</t>
  </si>
  <si>
    <t xml:space="preserve">PERISHABLE FOOD</t>
  </si>
  <si>
    <t xml:space="preserve">GEN</t>
  </si>
  <si>
    <t xml:space="preserve">773-72576488</t>
  </si>
  <si>
    <t xml:space="preserve">H254293</t>
  </si>
  <si>
    <t xml:space="preserve">MNL</t>
  </si>
  <si>
    <t xml:space="preserve">16:44:00</t>
  </si>
  <si>
    <t xml:space="preserve">18:42:00</t>
  </si>
  <si>
    <t xml:space="preserve">21:01:00</t>
  </si>
  <si>
    <t xml:space="preserve">01:52:00</t>
  </si>
  <si>
    <t xml:space="preserve">COTTON YARN</t>
  </si>
  <si>
    <t xml:space="preserve">SPL</t>
  </si>
  <si>
    <t xml:space="preserve">773-43386978</t>
  </si>
  <si>
    <t xml:space="preserve">H884248</t>
  </si>
  <si>
    <t xml:space="preserve">20:45:00</t>
  </si>
  <si>
    <t xml:space="preserve">02:08:00</t>
  </si>
  <si>
    <t xml:space="preserve">14:59:00</t>
  </si>
  <si>
    <t xml:space="preserve">09:47:00</t>
  </si>
  <si>
    <t xml:space="preserve">HANDICRAFTS</t>
  </si>
  <si>
    <t xml:space="preserve">SQ0718</t>
  </si>
  <si>
    <t xml:space="preserve">773-45406359</t>
  </si>
  <si>
    <t xml:space="preserve">H839345</t>
  </si>
  <si>
    <t xml:space="preserve">11:47:00</t>
  </si>
  <si>
    <t xml:space="preserve">11:41:00</t>
  </si>
  <si>
    <t xml:space="preserve">14:39:00</t>
  </si>
  <si>
    <t xml:space="preserve">11:00:00</t>
  </si>
  <si>
    <t xml:space="preserve">LEATHER GOODS</t>
  </si>
  <si>
    <t xml:space="preserve">773-81464613</t>
  </si>
  <si>
    <t xml:space="preserve">H868719</t>
  </si>
  <si>
    <t xml:space="preserve">11:10:00</t>
  </si>
  <si>
    <t xml:space="preserve">09:04:00</t>
  </si>
  <si>
    <t xml:space="preserve">05:08:00</t>
  </si>
  <si>
    <t xml:space="preserve">00:52:00</t>
  </si>
  <si>
    <t xml:space="preserve">MEDICINE</t>
  </si>
  <si>
    <t xml:space="preserve">773-85573486</t>
  </si>
  <si>
    <t xml:space="preserve">H660711</t>
  </si>
  <si>
    <t xml:space="preserve">SIN</t>
  </si>
  <si>
    <t xml:space="preserve">08:46:00</t>
  </si>
  <si>
    <t xml:space="preserve">18:38:00</t>
  </si>
  <si>
    <t xml:space="preserve">12:04:00</t>
  </si>
  <si>
    <t xml:space="preserve">07:00:00</t>
  </si>
  <si>
    <t xml:space="preserve">CONSOL SHIPMENT</t>
  </si>
  <si>
    <t xml:space="preserve">DGR</t>
  </si>
  <si>
    <t xml:space="preserve">SQ0725</t>
  </si>
  <si>
    <t xml:space="preserve">773-56739127</t>
  </si>
  <si>
    <t xml:space="preserve">H540151</t>
  </si>
  <si>
    <t xml:space="preserve">SYD</t>
  </si>
  <si>
    <t xml:space="preserve">13:42:00</t>
  </si>
  <si>
    <t xml:space="preserve">07:52:00</t>
  </si>
  <si>
    <t xml:space="preserve">01:44:00</t>
  </si>
  <si>
    <t xml:space="preserve">07:36:00</t>
  </si>
  <si>
    <t xml:space="preserve">773-83487943</t>
  </si>
  <si>
    <t xml:space="preserve">H807275</t>
  </si>
  <si>
    <t xml:space="preserve">MEL</t>
  </si>
  <si>
    <t xml:space="preserve">19:09:00</t>
  </si>
  <si>
    <t xml:space="preserve">04:03:00</t>
  </si>
  <si>
    <t xml:space="preserve">02:39:00</t>
  </si>
  <si>
    <t xml:space="preserve">00:48:00</t>
  </si>
  <si>
    <t xml:space="preserve">AUTO PARTS</t>
  </si>
  <si>
    <t xml:space="preserve">773-18639143</t>
  </si>
  <si>
    <t xml:space="preserve">H214704</t>
  </si>
  <si>
    <t xml:space="preserve">BNE</t>
  </si>
  <si>
    <t xml:space="preserve">12:22:00</t>
  </si>
  <si>
    <t xml:space="preserve">08:10:00</t>
  </si>
  <si>
    <t xml:space="preserve">16:57:00</t>
  </si>
  <si>
    <t xml:space="preserve">08:24:00</t>
  </si>
  <si>
    <t xml:space="preserve">GARMENTS</t>
  </si>
  <si>
    <t xml:space="preserve">AVI</t>
  </si>
  <si>
    <t xml:space="preserve">773-66788413</t>
  </si>
  <si>
    <t xml:space="preserve">H709763</t>
  </si>
  <si>
    <t xml:space="preserve">18:12:00</t>
  </si>
  <si>
    <t xml:space="preserve">09:59:00</t>
  </si>
  <si>
    <t xml:space="preserve">01:46:00</t>
  </si>
  <si>
    <t xml:space="preserve">12:38:00</t>
  </si>
  <si>
    <t xml:space="preserve">773-14354642</t>
  </si>
  <si>
    <t xml:space="preserve">H226310</t>
  </si>
  <si>
    <t xml:space="preserve">21:07:00</t>
  </si>
  <si>
    <t xml:space="preserve">16:00:00</t>
  </si>
  <si>
    <t xml:space="preserve">13:28:00</t>
  </si>
  <si>
    <t xml:space="preserve">08:03:00</t>
  </si>
  <si>
    <t xml:space="preserve">773-80153286</t>
  </si>
  <si>
    <t xml:space="preserve">H696508</t>
  </si>
  <si>
    <t xml:space="preserve">11:06:00</t>
  </si>
  <si>
    <t xml:space="preserve">04:58:00</t>
  </si>
  <si>
    <t xml:space="preserve">15:50:00</t>
  </si>
  <si>
    <t xml:space="preserve">07:24:00</t>
  </si>
  <si>
    <t xml:space="preserve">SURGICAL GOODS</t>
  </si>
  <si>
    <t xml:space="preserve">773-73279654</t>
  </si>
  <si>
    <t xml:space="preserve">H983350</t>
  </si>
  <si>
    <t xml:space="preserve">21:06:00</t>
  </si>
  <si>
    <t xml:space="preserve">02:44:00</t>
  </si>
  <si>
    <t xml:space="preserve">06:29:00</t>
  </si>
  <si>
    <t xml:space="preserve">773-21555439</t>
  </si>
  <si>
    <t xml:space="preserve">H611917</t>
  </si>
  <si>
    <t xml:space="preserve">08:31:00</t>
  </si>
  <si>
    <t xml:space="preserve">20:20:00</t>
  </si>
  <si>
    <t xml:space="preserve">19:08:00</t>
  </si>
  <si>
    <t xml:space="preserve">06:09:00</t>
  </si>
  <si>
    <t xml:space="preserve">773-19961668</t>
  </si>
  <si>
    <t xml:space="preserve">H658842</t>
  </si>
  <si>
    <t xml:space="preserve">KUL</t>
  </si>
  <si>
    <t xml:space="preserve">08:22:00</t>
  </si>
  <si>
    <t xml:space="preserve">16:41:00</t>
  </si>
  <si>
    <t xml:space="preserve">12:57:00</t>
  </si>
  <si>
    <t xml:space="preserve">04:57:00</t>
  </si>
  <si>
    <t xml:space="preserve">TRM</t>
  </si>
  <si>
    <t xml:space="preserve">773-45180683</t>
  </si>
  <si>
    <t xml:space="preserve">H560333</t>
  </si>
  <si>
    <t xml:space="preserve">20:05:00</t>
  </si>
  <si>
    <t xml:space="preserve">22:24:00</t>
  </si>
  <si>
    <t xml:space="preserve">01:40:00</t>
  </si>
  <si>
    <t xml:space="preserve">773-57510195</t>
  </si>
  <si>
    <t xml:space="preserve">H770987</t>
  </si>
  <si>
    <t xml:space="preserve">09:23:00</t>
  </si>
  <si>
    <t xml:space="preserve">15:38:00</t>
  </si>
  <si>
    <t xml:space="preserve">16:49:00</t>
  </si>
  <si>
    <t xml:space="preserve">01:05:00</t>
  </si>
  <si>
    <t xml:space="preserve">SHOES</t>
  </si>
  <si>
    <t xml:space="preserve">VAL</t>
  </si>
  <si>
    <t xml:space="preserve">773-69628902</t>
  </si>
  <si>
    <t xml:space="preserve">H562358</t>
  </si>
  <si>
    <t xml:space="preserve">12:13:00</t>
  </si>
  <si>
    <t xml:space="preserve">20:39:00</t>
  </si>
  <si>
    <t xml:space="preserve">20:55:00</t>
  </si>
  <si>
    <t xml:space="preserve">08:02:00</t>
  </si>
  <si>
    <t xml:space="preserve">773-50227148</t>
  </si>
  <si>
    <t xml:space="preserve">H215873</t>
  </si>
  <si>
    <t xml:space="preserve">18:20:00</t>
  </si>
  <si>
    <t xml:space="preserve">21:41:00</t>
  </si>
  <si>
    <t xml:space="preserve">10:07:00</t>
  </si>
  <si>
    <t xml:space="preserve">09:21:00</t>
  </si>
  <si>
    <t xml:space="preserve">773-36950362</t>
  </si>
  <si>
    <t xml:space="preserve">H150449</t>
  </si>
  <si>
    <t xml:space="preserve">16:05:00</t>
  </si>
  <si>
    <t xml:space="preserve">03:42:00</t>
  </si>
  <si>
    <t xml:space="preserve">23:19:00</t>
  </si>
  <si>
    <t xml:space="preserve">07:11:00</t>
  </si>
  <si>
    <t xml:space="preserve">773-69463292</t>
  </si>
  <si>
    <t xml:space="preserve">H414674</t>
  </si>
  <si>
    <t xml:space="preserve">09:13:00</t>
  </si>
  <si>
    <t xml:space="preserve">18:24:00</t>
  </si>
  <si>
    <t xml:space="preserve">14:41:00</t>
  </si>
  <si>
    <t xml:space="preserve">10:19:00</t>
  </si>
  <si>
    <t xml:space="preserve">MACHINERY PARTS</t>
  </si>
  <si>
    <t xml:space="preserve">773-93685343</t>
  </si>
  <si>
    <t xml:space="preserve">H196040</t>
  </si>
  <si>
    <t xml:space="preserve">22:34:00</t>
  </si>
  <si>
    <t xml:space="preserve">00:56:00</t>
  </si>
  <si>
    <t xml:space="preserve">13:55:00</t>
  </si>
  <si>
    <t xml:space="preserve">00:42:00</t>
  </si>
  <si>
    <t xml:space="preserve">773-68524432</t>
  </si>
  <si>
    <t xml:space="preserve">H947944</t>
  </si>
  <si>
    <t xml:space="preserve">14:21:00</t>
  </si>
  <si>
    <t xml:space="preserve">03:41:00</t>
  </si>
  <si>
    <t xml:space="preserve">05:39:00</t>
  </si>
  <si>
    <t xml:space="preserve">773-59252237</t>
  </si>
  <si>
    <t xml:space="preserve">H316616</t>
  </si>
  <si>
    <t xml:space="preserve">16:36:00</t>
  </si>
  <si>
    <t xml:space="preserve">14:38:00</t>
  </si>
  <si>
    <t xml:space="preserve">02:36:00</t>
  </si>
  <si>
    <t xml:space="preserve">773-12085963</t>
  </si>
  <si>
    <t xml:space="preserve">H299823</t>
  </si>
  <si>
    <t xml:space="preserve">20:32:00</t>
  </si>
  <si>
    <t xml:space="preserve">01:01:00</t>
  </si>
  <si>
    <t xml:space="preserve">08:49:00</t>
  </si>
  <si>
    <t xml:space="preserve">ELECTRONICS</t>
  </si>
  <si>
    <t xml:space="preserve">773-79761054</t>
  </si>
  <si>
    <t xml:space="preserve">H927491</t>
  </si>
  <si>
    <t xml:space="preserve">15:02:00</t>
  </si>
  <si>
    <t xml:space="preserve">00:07:00</t>
  </si>
  <si>
    <t xml:space="preserve">06:25:00</t>
  </si>
  <si>
    <t xml:space="preserve">PHARMACEUTICALS</t>
  </si>
  <si>
    <t xml:space="preserve">773-69065424</t>
  </si>
  <si>
    <t xml:space="preserve">H510866</t>
  </si>
  <si>
    <t xml:space="preserve">21:10:00</t>
  </si>
  <si>
    <t xml:space="preserve">23:01:00</t>
  </si>
  <si>
    <t xml:space="preserve">04:31:00</t>
  </si>
  <si>
    <t xml:space="preserve">09:24:00</t>
  </si>
  <si>
    <t xml:space="preserve">CONSOL CARGO</t>
  </si>
  <si>
    <t xml:space="preserve">773-78982914</t>
  </si>
  <si>
    <t xml:space="preserve">H601077</t>
  </si>
  <si>
    <t xml:space="preserve">20:33:00</t>
  </si>
  <si>
    <t xml:space="preserve">13:40:00</t>
  </si>
  <si>
    <t xml:space="preserve">05:42:00</t>
  </si>
  <si>
    <t xml:space="preserve">10:44:00</t>
  </si>
  <si>
    <t xml:space="preserve">773-62771221</t>
  </si>
  <si>
    <t xml:space="preserve">H551569</t>
  </si>
  <si>
    <t xml:space="preserve">14:01:00</t>
  </si>
  <si>
    <t xml:space="preserve">22:18:00</t>
  </si>
  <si>
    <t xml:space="preserve">11:12:00</t>
  </si>
  <si>
    <t xml:space="preserve">09:53:00</t>
  </si>
  <si>
    <t xml:space="preserve">773-84509694</t>
  </si>
  <si>
    <t xml:space="preserve">H353876</t>
  </si>
  <si>
    <t xml:space="preserve">15:52:00</t>
  </si>
  <si>
    <t xml:space="preserve">00:21:00</t>
  </si>
  <si>
    <t xml:space="preserve">02:13:00</t>
  </si>
  <si>
    <t xml:space="preserve">773-92593561</t>
  </si>
  <si>
    <t xml:space="preserve">H112356</t>
  </si>
  <si>
    <t xml:space="preserve">19:29:00</t>
  </si>
  <si>
    <t xml:space="preserve">20:48:00</t>
  </si>
  <si>
    <t xml:space="preserve">13:01:00</t>
  </si>
  <si>
    <t xml:space="preserve">773-40435907</t>
  </si>
  <si>
    <t xml:space="preserve">H631470</t>
  </si>
  <si>
    <t xml:space="preserve">17:01:00</t>
  </si>
  <si>
    <t xml:space="preserve">07:39:00</t>
  </si>
  <si>
    <t xml:space="preserve">23:59:00</t>
  </si>
  <si>
    <t xml:space="preserve">773-60883795</t>
  </si>
  <si>
    <t xml:space="preserve">H485694</t>
  </si>
  <si>
    <t xml:space="preserve">19:45:00</t>
  </si>
  <si>
    <t xml:space="preserve">10:01:00</t>
  </si>
  <si>
    <t xml:space="preserve">06:14:00</t>
  </si>
  <si>
    <t xml:space="preserve">11:37:00</t>
  </si>
  <si>
    <t xml:space="preserve">773-59077878</t>
  </si>
  <si>
    <t xml:space="preserve">H467949</t>
  </si>
  <si>
    <t xml:space="preserve">13:17:00</t>
  </si>
  <si>
    <t xml:space="preserve">08:20:00</t>
  </si>
  <si>
    <t xml:space="preserve">09:30:00</t>
  </si>
  <si>
    <t xml:space="preserve">07:25:00</t>
  </si>
  <si>
    <t xml:space="preserve">TEXTILES</t>
  </si>
  <si>
    <t xml:space="preserve">773-22500268</t>
  </si>
  <si>
    <t xml:space="preserve">H847077</t>
  </si>
  <si>
    <t xml:space="preserve">12:50:00</t>
  </si>
  <si>
    <t xml:space="preserve">20:46:00</t>
  </si>
  <si>
    <t xml:space="preserve">01:39:00</t>
  </si>
  <si>
    <t xml:space="preserve">11:29:00</t>
  </si>
  <si>
    <t xml:space="preserve">773-91521506</t>
  </si>
  <si>
    <t xml:space="preserve">H458382</t>
  </si>
  <si>
    <t xml:space="preserve">18:51:00</t>
  </si>
  <si>
    <t xml:space="preserve">12:21:00</t>
  </si>
  <si>
    <t xml:space="preserve">12:39:00</t>
  </si>
  <si>
    <t xml:space="preserve">04:13:00</t>
  </si>
  <si>
    <t xml:space="preserve">PER</t>
  </si>
  <si>
    <t xml:space="preserve">773-73361613</t>
  </si>
  <si>
    <t xml:space="preserve">H370651</t>
  </si>
  <si>
    <t xml:space="preserve">05:38:00</t>
  </si>
  <si>
    <t xml:space="preserve">04:56:00</t>
  </si>
  <si>
    <t xml:space="preserve">773-92982127</t>
  </si>
  <si>
    <t xml:space="preserve">H291334</t>
  </si>
  <si>
    <t xml:space="preserve">11:05:00</t>
  </si>
  <si>
    <t xml:space="preserve">10:24:00</t>
  </si>
  <si>
    <t xml:space="preserve">01:25:00</t>
  </si>
  <si>
    <t xml:space="preserve">07:21:00</t>
  </si>
  <si>
    <t xml:space="preserve">773-81659453</t>
  </si>
  <si>
    <t xml:space="preserve">H137541</t>
  </si>
  <si>
    <t xml:space="preserve">12:00:00</t>
  </si>
  <si>
    <t xml:space="preserve">07:33:00</t>
  </si>
  <si>
    <t xml:space="preserve">03:47:00</t>
  </si>
  <si>
    <t xml:space="preserve">MOBILE PHONES</t>
  </si>
  <si>
    <t xml:space="preserve">773-17717854</t>
  </si>
  <si>
    <t xml:space="preserve">H250878</t>
  </si>
  <si>
    <t xml:space="preserve">15:03:00</t>
  </si>
  <si>
    <t xml:space="preserve">22:56:00</t>
  </si>
  <si>
    <t xml:space="preserve">19:23:00</t>
  </si>
  <si>
    <t xml:space="preserve">00:12:00</t>
  </si>
  <si>
    <t xml:space="preserve">773-38441372</t>
  </si>
  <si>
    <t xml:space="preserve">H983296</t>
  </si>
  <si>
    <t xml:space="preserve">16:53:00</t>
  </si>
  <si>
    <t xml:space="preserve">00:58:00</t>
  </si>
  <si>
    <t xml:space="preserve">05:47:00</t>
  </si>
  <si>
    <t xml:space="preserve">10:14:00</t>
  </si>
  <si>
    <t xml:space="preserve">773-13981024</t>
  </si>
  <si>
    <t xml:space="preserve">H342005</t>
  </si>
  <si>
    <t xml:space="preserve">11:14:00</t>
  </si>
  <si>
    <t xml:space="preserve">11:51:00</t>
  </si>
  <si>
    <t xml:space="preserve">11:16:00</t>
  </si>
  <si>
    <t xml:space="preserve">03:39:00</t>
  </si>
  <si>
    <t xml:space="preserve">773-25188105</t>
  </si>
  <si>
    <t xml:space="preserve">H564435</t>
  </si>
  <si>
    <t xml:space="preserve">08:35:00</t>
  </si>
  <si>
    <t xml:space="preserve">19:14:00</t>
  </si>
  <si>
    <t xml:space="preserve">00:04:00</t>
  </si>
  <si>
    <t xml:space="preserve">773-30058503</t>
  </si>
  <si>
    <t xml:space="preserve">H430611</t>
  </si>
  <si>
    <t xml:space="preserve">17:30:00</t>
  </si>
  <si>
    <t xml:space="preserve">06:58:00</t>
  </si>
  <si>
    <t xml:space="preserve">16:25:00</t>
  </si>
  <si>
    <t xml:space="preserve">773-22976828</t>
  </si>
  <si>
    <t xml:space="preserve">H484252</t>
  </si>
  <si>
    <t xml:space="preserve">16:48:00</t>
  </si>
  <si>
    <t xml:space="preserve">14:43:00</t>
  </si>
  <si>
    <t xml:space="preserve">05:36:00</t>
  </si>
  <si>
    <t xml:space="preserve">03:53:00</t>
  </si>
  <si>
    <t xml:space="preserve">773-77238830</t>
  </si>
  <si>
    <t xml:space="preserve">H833143</t>
  </si>
  <si>
    <t xml:space="preserve">08:14:00</t>
  </si>
  <si>
    <t xml:space="preserve">14:14:00</t>
  </si>
  <si>
    <t xml:space="preserve">17:58:00</t>
  </si>
  <si>
    <t xml:space="preserve">01:20:00</t>
  </si>
  <si>
    <t xml:space="preserve">773-34755817</t>
  </si>
  <si>
    <t xml:space="preserve">H303564</t>
  </si>
  <si>
    <t xml:space="preserve">13:20:00</t>
  </si>
  <si>
    <t xml:space="preserve">12:34:00</t>
  </si>
  <si>
    <t xml:space="preserve">SPICES</t>
  </si>
  <si>
    <t xml:space="preserve">773-10453044</t>
  </si>
  <si>
    <t xml:space="preserve">H954979</t>
  </si>
  <si>
    <t xml:space="preserve">21:48:00</t>
  </si>
  <si>
    <t xml:space="preserve">13:36:00</t>
  </si>
  <si>
    <t xml:space="preserve">18:31:00</t>
  </si>
  <si>
    <t xml:space="preserve">04:41:00</t>
  </si>
  <si>
    <t xml:space="preserve">773-91005198</t>
  </si>
  <si>
    <t xml:space="preserve">H622778</t>
  </si>
  <si>
    <t xml:space="preserve">09:36:00</t>
  </si>
  <si>
    <t xml:space="preserve">05:41:00</t>
  </si>
  <si>
    <t xml:space="preserve">18:10:00</t>
  </si>
  <si>
    <t xml:space="preserve">08:09:00</t>
  </si>
  <si>
    <t xml:space="preserve">773-37095935</t>
  </si>
  <si>
    <t xml:space="preserve">H192825</t>
  </si>
  <si>
    <t xml:space="preserve">15:30:00</t>
  </si>
  <si>
    <t xml:space="preserve">04:45:00</t>
  </si>
  <si>
    <t xml:space="preserve">14:03:00</t>
  </si>
  <si>
    <t xml:space="preserve">06:48:00</t>
  </si>
  <si>
    <t xml:space="preserve">773-44708626</t>
  </si>
  <si>
    <t xml:space="preserve">H770398</t>
  </si>
  <si>
    <t xml:space="preserve">19:20:00</t>
  </si>
  <si>
    <t xml:space="preserve">13:30:00</t>
  </si>
  <si>
    <t xml:space="preserve">20:11:00</t>
  </si>
  <si>
    <t xml:space="preserve">08:07:00</t>
  </si>
  <si>
    <t xml:space="preserve">773-11997014</t>
  </si>
  <si>
    <t xml:space="preserve">H329936</t>
  </si>
  <si>
    <t xml:space="preserve">23:40:00</t>
  </si>
  <si>
    <t xml:space="preserve">04:25:00</t>
  </si>
  <si>
    <t xml:space="preserve">21:12:00</t>
  </si>
  <si>
    <t xml:space="preserve">773-66972306</t>
  </si>
  <si>
    <t xml:space="preserve">H786102</t>
  </si>
  <si>
    <t xml:space="preserve">17:03:00</t>
  </si>
  <si>
    <t xml:space="preserve">09:02:00</t>
  </si>
  <si>
    <t xml:space="preserve">11:49:00</t>
  </si>
  <si>
    <t xml:space="preserve">03:01:00</t>
  </si>
  <si>
    <t xml:space="preserve">773-45217867</t>
  </si>
  <si>
    <t xml:space="preserve">H962141</t>
  </si>
  <si>
    <t xml:space="preserve">23:55:00</t>
  </si>
  <si>
    <t xml:space="preserve">09:00:00</t>
  </si>
  <si>
    <t xml:space="preserve">16:16:00</t>
  </si>
  <si>
    <t xml:space="preserve">03:37:00</t>
  </si>
  <si>
    <t xml:space="preserve">773-70921644</t>
  </si>
  <si>
    <t xml:space="preserve">H470726</t>
  </si>
  <si>
    <t xml:space="preserve">10:37:00</t>
  </si>
  <si>
    <t xml:space="preserve">00:03:00</t>
  </si>
  <si>
    <t xml:space="preserve">16:20:00</t>
  </si>
  <si>
    <t xml:space="preserve">04:53:00</t>
  </si>
  <si>
    <t xml:space="preserve">773-22893945</t>
  </si>
  <si>
    <t xml:space="preserve">H199674</t>
  </si>
  <si>
    <t xml:space="preserve">11:57:00</t>
  </si>
  <si>
    <t xml:space="preserve">05:30:00</t>
  </si>
  <si>
    <t xml:space="preserve">09:49:00</t>
  </si>
  <si>
    <t xml:space="preserve">11:25:00</t>
  </si>
  <si>
    <t xml:space="preserve">773-96398873</t>
  </si>
  <si>
    <t xml:space="preserve">H391427</t>
  </si>
  <si>
    <t xml:space="preserve">16:10:00</t>
  </si>
  <si>
    <t xml:space="preserve">19:31:00</t>
  </si>
  <si>
    <t xml:space="preserve">15:53:00</t>
  </si>
  <si>
    <t xml:space="preserve">773-24223417</t>
  </si>
  <si>
    <t xml:space="preserve">H922881</t>
  </si>
  <si>
    <t xml:space="preserve">13:58:00</t>
  </si>
  <si>
    <t xml:space="preserve">18:16:00</t>
  </si>
  <si>
    <t xml:space="preserve">15:33:00</t>
  </si>
  <si>
    <t xml:space="preserve">03:06:00</t>
  </si>
  <si>
    <t xml:space="preserve">773-71305182</t>
  </si>
  <si>
    <t xml:space="preserve">H991040</t>
  </si>
  <si>
    <t xml:space="preserve">16:56:00</t>
  </si>
  <si>
    <t xml:space="preserve">06:49:00</t>
  </si>
  <si>
    <t xml:space="preserve">09:57:00</t>
  </si>
  <si>
    <t xml:space="preserve">773-89278048</t>
  </si>
  <si>
    <t xml:space="preserve">H686523</t>
  </si>
  <si>
    <t xml:space="preserve">13:29:00</t>
  </si>
  <si>
    <t xml:space="preserve">01:16:00</t>
  </si>
  <si>
    <t xml:space="preserve">01:13:00</t>
  </si>
  <si>
    <t xml:space="preserve">773-17447690</t>
  </si>
  <si>
    <t xml:space="preserve">H555986</t>
  </si>
  <si>
    <t xml:space="preserve">14:15:00</t>
  </si>
  <si>
    <t xml:space="preserve">13:08:00</t>
  </si>
  <si>
    <t xml:space="preserve">11:34:00</t>
  </si>
  <si>
    <t xml:space="preserve">07:35:00</t>
  </si>
  <si>
    <t xml:space="preserve">773-94115717</t>
  </si>
  <si>
    <t xml:space="preserve">H168896</t>
  </si>
  <si>
    <t xml:space="preserve">23:49:00</t>
  </si>
  <si>
    <t xml:space="preserve">19:39:00</t>
  </si>
  <si>
    <t xml:space="preserve">04:12:00</t>
  </si>
  <si>
    <t xml:space="preserve">773-18420594</t>
  </si>
  <si>
    <t xml:space="preserve">H295785</t>
  </si>
  <si>
    <t xml:space="preserve">22:21:00</t>
  </si>
  <si>
    <t xml:space="preserve">05:15:00</t>
  </si>
  <si>
    <t xml:space="preserve">03:46:00</t>
  </si>
  <si>
    <t xml:space="preserve">10:58:00</t>
  </si>
  <si>
    <t xml:space="preserve">773-72148600</t>
  </si>
  <si>
    <t xml:space="preserve">H559017</t>
  </si>
  <si>
    <t xml:space="preserve">18:00:00</t>
  </si>
  <si>
    <t xml:space="preserve">00:36:00</t>
  </si>
  <si>
    <t xml:space="preserve">22:35:00</t>
  </si>
  <si>
    <t xml:space="preserve">03:32:00</t>
  </si>
  <si>
    <t xml:space="preserve">773-29767944</t>
  </si>
  <si>
    <t xml:space="preserve">H833593</t>
  </si>
  <si>
    <t xml:space="preserve">21:49:00</t>
  </si>
  <si>
    <t xml:space="preserve">23:45:00</t>
  </si>
  <si>
    <t xml:space="preserve">01:03:00</t>
  </si>
  <si>
    <t xml:space="preserve">07:05:00</t>
  </si>
  <si>
    <t xml:space="preserve">773-65740707</t>
  </si>
  <si>
    <t xml:space="preserve">H955559</t>
  </si>
  <si>
    <t xml:space="preserve">15:28:00</t>
  </si>
  <si>
    <t xml:space="preserve">17:41:00</t>
  </si>
  <si>
    <t xml:space="preserve">773-21713214</t>
  </si>
  <si>
    <t xml:space="preserve">H471345</t>
  </si>
  <si>
    <t xml:space="preserve">12:07:00</t>
  </si>
  <si>
    <t xml:space="preserve">07:54:00</t>
  </si>
  <si>
    <t xml:space="preserve">18:03:00</t>
  </si>
  <si>
    <t xml:space="preserve">05:37:00</t>
  </si>
  <si>
    <t xml:space="preserve">773-91125510</t>
  </si>
  <si>
    <t xml:space="preserve">H621417</t>
  </si>
  <si>
    <t xml:space="preserve">08:33:00</t>
  </si>
  <si>
    <t xml:space="preserve">12:40:00</t>
  </si>
  <si>
    <t xml:space="preserve">773-93532267</t>
  </si>
  <si>
    <t xml:space="preserve">H992087</t>
  </si>
  <si>
    <t xml:space="preserve">22:51:00</t>
  </si>
  <si>
    <t xml:space="preserve">23:30:00</t>
  </si>
  <si>
    <t xml:space="preserve">05:55:00</t>
  </si>
  <si>
    <t xml:space="preserve">773-36749441</t>
  </si>
  <si>
    <t xml:space="preserve">H233261</t>
  </si>
  <si>
    <t xml:space="preserve">15:54:00</t>
  </si>
  <si>
    <t xml:space="preserve">13:54:00</t>
  </si>
  <si>
    <t xml:space="preserve">06:01:00</t>
  </si>
  <si>
    <t xml:space="preserve">11:04:00</t>
  </si>
  <si>
    <t xml:space="preserve">773-74535414</t>
  </si>
  <si>
    <t xml:space="preserve">H732993</t>
  </si>
  <si>
    <t xml:space="preserve">08:55:00</t>
  </si>
  <si>
    <t xml:space="preserve">04:51:00</t>
  </si>
  <si>
    <t xml:space="preserve">06:53:00</t>
  </si>
  <si>
    <t xml:space="preserve">00:09:00</t>
  </si>
  <si>
    <t xml:space="preserve">773-50928969</t>
  </si>
  <si>
    <t xml:space="preserve">H549794</t>
  </si>
  <si>
    <t xml:space="preserve">11:21:00</t>
  </si>
  <si>
    <t xml:space="preserve">15:13:00</t>
  </si>
  <si>
    <t xml:space="preserve">20:34:00</t>
  </si>
  <si>
    <t xml:space="preserve">06:31:00</t>
  </si>
  <si>
    <t xml:space="preserve">SERVICE CHALLAN IMPORT</t>
  </si>
  <si>
    <t xml:space="preserve">CARRIER:SQ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</si>
  <si>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</si>
  <si>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</si>
  <si>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</si>
  <si>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</si>
  <si>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</si>
  <si>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</si>
  <si>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</si>
  <si>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</si>
  <si>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IMPORT CARGO HANDLING CHARGES</t>
  </si>
  <si>
    <t xml:space="preserve">BREAK BULK CHARGES</t>
  </si>
  <si>
    <t xml:space="preserve">IMPORT DEMURRAGE CHARGES</t>
  </si>
  <si>
    <t xml:space="preserve">TOTAL</t>
  </si>
  <si>
    <t xml:space="preserve">Carrier: SQ</t>
  </si>
  <si>
    <t xml:space="preserve">CH.WT</t>
  </si>
  <si>
    <t xml:space="preserve">DEM RATE</t>
  </si>
  <si>
    <t xml:space="preserve">NO OF DAYS</t>
  </si>
  <si>
    <t xml:space="preserve">DEM AMT</t>
  </si>
  <si>
    <t xml:space="preserve">AMT INCL GST</t>
  </si>
  <si>
    <t xml:space="preserve">RATE CARD - SQ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</si>
  <si>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</si>
  <si>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</si>
  <si>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</si>
  <si>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</si>
  <si>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</si>
  <si>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</si>
  <si>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</si>
  <si>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VUN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</si>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</sst>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2" t="n">
        <v>46069</v>
      </c>
      <c r="D2" s="3" t="s">
        <v>27</v>
      </c>
      <c r="E2" s="3" t="s">
        <v>28</v>
      </c>
      <c r="F2" s="3" t="s">
        <v>29</v>
      </c>
      <c r="G2" s="3" t="s">
        <v>30</v>
      </c>
      <c r="H2" s="0" t="n">
        <v>44</v>
      </c>
      <c r="I2" s="0" t="n">
        <v>3160.32</v>
      </c>
      <c r="J2" s="0" t="n">
        <v>3160.36</v>
      </c>
      <c r="K2" s="2" t="n">
        <v>46066</v>
      </c>
      <c r="L2" s="3" t="s">
        <v>31</v>
      </c>
      <c r="M2" s="2" t="n">
        <v>46066</v>
      </c>
      <c r="N2" s="3" t="s">
        <v>32</v>
      </c>
      <c r="O2" s="2" t="n">
        <v>46067</v>
      </c>
      <c r="P2" s="3" t="s">
        <v>33</v>
      </c>
      <c r="Q2" s="2" t="n">
        <v>46069</v>
      </c>
      <c r="R2" s="3" t="s">
        <v>34</v>
      </c>
      <c r="S2" s="3" t="s">
        <v>35</v>
      </c>
      <c r="T2" s="3" t="s">
        <v>36</v>
      </c>
      <c r="U2" s="3" t="s">
        <v>36</v>
      </c>
      <c r="V2" s="0" t="n">
        <v>1.5</v>
      </c>
      <c r="W2" s="0" t="n">
        <v>2</v>
      </c>
      <c r="X2" s="0" t="n">
        <v>2.9</v>
      </c>
      <c r="Y2" s="4" t="n">
        <f aca="false">J2*X2*W2</f>
        <v>18330.088</v>
      </c>
      <c r="Z2" s="4" t="n">
        <f aca="false">Y2*1.18</f>
        <v>21629.50384</v>
      </c>
    </row>
    <row r="3" customFormat="false" ht="15" hidden="false" customHeight="false" outlineLevel="0" collapsed="false">
      <c r="A3" s="0" t="n">
        <v>2</v>
      </c>
      <c r="B3" s="0" t="s">
        <v>26</v>
      </c>
      <c r="C3" s="2" t="n">
        <v>46069</v>
      </c>
      <c r="D3" s="3" t="s">
        <v>37</v>
      </c>
      <c r="E3" s="3" t="s">
        <v>38</v>
      </c>
      <c r="F3" s="3" t="s">
        <v>39</v>
      </c>
      <c r="G3" s="3" t="s">
        <v>30</v>
      </c>
      <c r="H3" s="0" t="n">
        <v>89</v>
      </c>
      <c r="I3" s="0" t="n">
        <v>1290.41</v>
      </c>
      <c r="J3" s="0" t="n">
        <v>1290.79</v>
      </c>
      <c r="K3" s="2" t="n">
        <v>46066</v>
      </c>
      <c r="L3" s="3" t="s">
        <v>40</v>
      </c>
      <c r="M3" s="2" t="n">
        <v>46066</v>
      </c>
      <c r="N3" s="3" t="s">
        <v>41</v>
      </c>
      <c r="O3" s="2" t="n">
        <v>46066</v>
      </c>
      <c r="P3" s="3" t="s">
        <v>42</v>
      </c>
      <c r="Q3" s="2" t="n">
        <v>46069</v>
      </c>
      <c r="R3" s="3" t="s">
        <v>43</v>
      </c>
      <c r="S3" s="3" t="s">
        <v>44</v>
      </c>
      <c r="T3" s="3" t="s">
        <v>45</v>
      </c>
      <c r="U3" s="3" t="s">
        <v>45</v>
      </c>
      <c r="V3" s="0" t="n">
        <v>1.5</v>
      </c>
      <c r="W3" s="0" t="n">
        <v>1</v>
      </c>
      <c r="X3" s="0" t="n">
        <v>2.9</v>
      </c>
      <c r="Y3" s="4" t="n">
        <f aca="false">J3*X3*W3</f>
        <v>3743.291</v>
      </c>
      <c r="Z3" s="4" t="n">
        <f aca="false">Y3*1.18</f>
        <v>4417.08338</v>
      </c>
    </row>
    <row r="4" customFormat="false" ht="15" hidden="false" customHeight="false" outlineLevel="0" collapsed="false">
      <c r="A4" s="0" t="n">
        <v>3</v>
      </c>
      <c r="B4" s="0" t="s">
        <v>26</v>
      </c>
      <c r="C4" s="2" t="n">
        <v>46069</v>
      </c>
      <c r="D4" s="3" t="s">
        <v>46</v>
      </c>
      <c r="E4" s="3" t="s">
        <v>47</v>
      </c>
      <c r="F4" s="3" t="s">
        <v>29</v>
      </c>
      <c r="G4" s="3" t="s">
        <v>30</v>
      </c>
      <c r="H4" s="0" t="n">
        <v>206</v>
      </c>
      <c r="I4" s="0" t="n">
        <v>421.49</v>
      </c>
      <c r="J4" s="0" t="n">
        <v>421.81</v>
      </c>
      <c r="K4" s="2" t="n">
        <v>46067</v>
      </c>
      <c r="L4" s="3" t="s">
        <v>48</v>
      </c>
      <c r="M4" s="2" t="n">
        <v>46067</v>
      </c>
      <c r="N4" s="3" t="s">
        <v>49</v>
      </c>
      <c r="O4" s="2" t="n">
        <v>46068</v>
      </c>
      <c r="P4" s="3" t="s">
        <v>50</v>
      </c>
      <c r="Q4" s="2" t="n">
        <v>46069</v>
      </c>
      <c r="R4" s="3" t="s">
        <v>51</v>
      </c>
      <c r="S4" s="3" t="s">
        <v>52</v>
      </c>
      <c r="T4" s="3" t="s">
        <v>36</v>
      </c>
      <c r="U4" s="3" t="s">
        <v>36</v>
      </c>
      <c r="V4" s="0" t="n">
        <v>1.5</v>
      </c>
      <c r="W4" s="0" t="n">
        <v>1</v>
      </c>
      <c r="X4" s="0" t="n">
        <v>2.9</v>
      </c>
      <c r="Y4" s="4" t="n">
        <f aca="false">J4*X4*W4</f>
        <v>1223.249</v>
      </c>
      <c r="Z4" s="4" t="n">
        <f aca="false">Y4*1.18</f>
        <v>1443.43382</v>
      </c>
    </row>
    <row r="5" customFormat="false" ht="15" hidden="false" customHeight="false" outlineLevel="0" collapsed="false">
      <c r="A5" s="0" t="n">
        <v>4</v>
      </c>
      <c r="B5" s="0" t="s">
        <v>53</v>
      </c>
      <c r="C5" s="2" t="n">
        <v>46069</v>
      </c>
      <c r="D5" s="3" t="s">
        <v>54</v>
      </c>
      <c r="E5" s="3" t="s">
        <v>55</v>
      </c>
      <c r="F5" s="3" t="s">
        <v>29</v>
      </c>
      <c r="G5" s="3" t="s">
        <v>30</v>
      </c>
      <c r="H5" s="0" t="n">
        <v>86</v>
      </c>
      <c r="I5" s="0" t="n">
        <v>974.78</v>
      </c>
      <c r="J5" s="0" t="n">
        <v>1072.43</v>
      </c>
      <c r="K5" s="2" t="n">
        <v>46067</v>
      </c>
      <c r="L5" s="3" t="s">
        <v>56</v>
      </c>
      <c r="M5" s="2" t="n">
        <v>46067</v>
      </c>
      <c r="N5" s="3" t="s">
        <v>57</v>
      </c>
      <c r="O5" s="2" t="n">
        <v>46067</v>
      </c>
      <c r="P5" s="3" t="s">
        <v>58</v>
      </c>
      <c r="Q5" s="2" t="n">
        <v>46069</v>
      </c>
      <c r="R5" s="3" t="s">
        <v>59</v>
      </c>
      <c r="S5" s="3" t="s">
        <v>60</v>
      </c>
      <c r="T5" s="3" t="s">
        <v>36</v>
      </c>
      <c r="U5" s="3" t="s">
        <v>36</v>
      </c>
      <c r="V5" s="0" t="n">
        <v>1.5</v>
      </c>
      <c r="W5" s="0" t="n">
        <v>3</v>
      </c>
      <c r="X5" s="0" t="n">
        <v>2.9</v>
      </c>
      <c r="Y5" s="4" t="n">
        <f aca="false">J5*X5*W5</f>
        <v>9330.141</v>
      </c>
      <c r="Z5" s="4" t="n">
        <f aca="false">Y5*1.18</f>
        <v>11009.56638</v>
      </c>
    </row>
    <row r="6" customFormat="false" ht="15" hidden="false" customHeight="false" outlineLevel="0" collapsed="false">
      <c r="A6" s="0" t="n">
        <v>5</v>
      </c>
      <c r="B6" s="0" t="s">
        <v>53</v>
      </c>
      <c r="C6" s="2" t="n">
        <v>46069</v>
      </c>
      <c r="D6" s="3" t="s">
        <v>61</v>
      </c>
      <c r="E6" s="3" t="s">
        <v>62</v>
      </c>
      <c r="F6" s="3" t="s">
        <v>29</v>
      </c>
      <c r="G6" s="3" t="s">
        <v>30</v>
      </c>
      <c r="H6" s="0" t="n">
        <v>67</v>
      </c>
      <c r="I6" s="0" t="n">
        <v>2918.8</v>
      </c>
      <c r="J6" s="0" t="n">
        <v>3210.76</v>
      </c>
      <c r="K6" s="2" t="n">
        <v>46068</v>
      </c>
      <c r="L6" s="3" t="s">
        <v>63</v>
      </c>
      <c r="M6" s="2" t="n">
        <v>46068</v>
      </c>
      <c r="N6" s="3" t="s">
        <v>64</v>
      </c>
      <c r="O6" s="2" t="n">
        <v>46069</v>
      </c>
      <c r="P6" s="3" t="s">
        <v>65</v>
      </c>
      <c r="Q6" s="2" t="n">
        <v>46069</v>
      </c>
      <c r="R6" s="3" t="s">
        <v>66</v>
      </c>
      <c r="S6" s="3" t="s">
        <v>67</v>
      </c>
      <c r="T6" s="3" t="s">
        <v>36</v>
      </c>
      <c r="U6" s="3" t="s">
        <v>36</v>
      </c>
      <c r="V6" s="0" t="n">
        <v>1.5</v>
      </c>
      <c r="W6" s="0" t="n">
        <v>2</v>
      </c>
      <c r="X6" s="0" t="n">
        <v>2.9</v>
      </c>
      <c r="Y6" s="4" t="n">
        <f aca="false">J6*X6*W6</f>
        <v>18622.408</v>
      </c>
      <c r="Z6" s="4" t="n">
        <f aca="false">Y6*1.18</f>
        <v>21974.44144</v>
      </c>
    </row>
    <row r="7" customFormat="false" ht="15" hidden="false" customHeight="false" outlineLevel="0" collapsed="false">
      <c r="A7" s="0" t="n">
        <v>6</v>
      </c>
      <c r="B7" s="0" t="s">
        <v>53</v>
      </c>
      <c r="C7" s="2" t="n">
        <v>46069</v>
      </c>
      <c r="D7" s="3" t="s">
        <v>68</v>
      </c>
      <c r="E7" s="3" t="s">
        <v>69</v>
      </c>
      <c r="F7" s="3" t="s">
        <v>70</v>
      </c>
      <c r="G7" s="3" t="s">
        <v>30</v>
      </c>
      <c r="H7" s="0" t="n">
        <v>159</v>
      </c>
      <c r="I7" s="0" t="n">
        <v>2322.75</v>
      </c>
      <c r="J7" s="0" t="n">
        <v>3484.4</v>
      </c>
      <c r="K7" s="2" t="n">
        <v>46068</v>
      </c>
      <c r="L7" s="3" t="s">
        <v>71</v>
      </c>
      <c r="M7" s="2" t="n">
        <v>46068</v>
      </c>
      <c r="N7" s="3" t="s">
        <v>72</v>
      </c>
      <c r="O7" s="2" t="n">
        <v>46069</v>
      </c>
      <c r="P7" s="3" t="s">
        <v>73</v>
      </c>
      <c r="Q7" s="2" t="n">
        <v>46069</v>
      </c>
      <c r="R7" s="3" t="s">
        <v>74</v>
      </c>
      <c r="S7" s="3" t="s">
        <v>75</v>
      </c>
      <c r="T7" s="3" t="s">
        <v>76</v>
      </c>
      <c r="U7" s="3" t="s">
        <v>76</v>
      </c>
      <c r="V7" s="0" t="n">
        <v>1.5</v>
      </c>
      <c r="W7" s="0" t="n">
        <v>1</v>
      </c>
      <c r="X7" s="0" t="n">
        <v>4.9</v>
      </c>
      <c r="Y7" s="4" t="n">
        <f aca="false">J7*X7*W7</f>
        <v>17073.56</v>
      </c>
      <c r="Z7" s="4" t="n">
        <f aca="false">Y7*1.18</f>
        <v>20146.8008</v>
      </c>
    </row>
    <row r="8" customFormat="false" ht="15" hidden="false" customHeight="false" outlineLevel="0" collapsed="false">
      <c r="A8" s="0" t="n">
        <v>7</v>
      </c>
      <c r="B8" s="0" t="s">
        <v>77</v>
      </c>
      <c r="C8" s="2" t="n">
        <v>46069</v>
      </c>
      <c r="D8" s="3" t="s">
        <v>78</v>
      </c>
      <c r="E8" s="3" t="s">
        <v>79</v>
      </c>
      <c r="F8" s="3" t="s">
        <v>80</v>
      </c>
      <c r="G8" s="3" t="s">
        <v>30</v>
      </c>
      <c r="H8" s="0" t="n">
        <v>48</v>
      </c>
      <c r="I8" s="0" t="n">
        <v>351.29</v>
      </c>
      <c r="J8" s="0" t="n">
        <v>386.84</v>
      </c>
      <c r="K8" s="2" t="n">
        <v>46066</v>
      </c>
      <c r="L8" s="3" t="s">
        <v>81</v>
      </c>
      <c r="M8" s="2" t="n">
        <v>46066</v>
      </c>
      <c r="N8" s="3" t="s">
        <v>82</v>
      </c>
      <c r="O8" s="2" t="n">
        <v>46067</v>
      </c>
      <c r="P8" s="3" t="s">
        <v>83</v>
      </c>
      <c r="Q8" s="2" t="n">
        <v>46069</v>
      </c>
      <c r="R8" s="3" t="s">
        <v>84</v>
      </c>
      <c r="S8" s="3" t="s">
        <v>52</v>
      </c>
      <c r="T8" s="3" t="s">
        <v>36</v>
      </c>
      <c r="U8" s="3" t="s">
        <v>36</v>
      </c>
      <c r="V8" s="0" t="n">
        <v>1.5</v>
      </c>
      <c r="W8" s="0" t="n">
        <v>-1</v>
      </c>
      <c r="X8" s="0" t="n">
        <v>2.9</v>
      </c>
      <c r="Y8" s="4" t="n">
        <f aca="false">J8*X8*W8</f>
        <v>-1121.836</v>
      </c>
      <c r="Z8" s="4" t="n">
        <f aca="false">Y8*1.18</f>
        <v>-1323.76648</v>
      </c>
    </row>
    <row r="9" customFormat="false" ht="15" hidden="false" customHeight="false" outlineLevel="0" collapsed="false">
      <c r="A9" s="0" t="n">
        <v>8</v>
      </c>
      <c r="B9" s="0" t="s">
        <v>26</v>
      </c>
      <c r="C9" s="2" t="n">
        <v>46070</v>
      </c>
      <c r="D9" s="3" t="s">
        <v>85</v>
      </c>
      <c r="E9" s="3" t="s">
        <v>86</v>
      </c>
      <c r="F9" s="3" t="s">
        <v>87</v>
      </c>
      <c r="G9" s="3" t="s">
        <v>30</v>
      </c>
      <c r="H9" s="0" t="n">
        <v>151</v>
      </c>
      <c r="I9" s="0" t="n">
        <v>2413.61</v>
      </c>
      <c r="J9" s="0" t="n">
        <v>2655.22</v>
      </c>
      <c r="K9" s="2" t="n">
        <v>46069</v>
      </c>
      <c r="L9" s="3" t="s">
        <v>88</v>
      </c>
      <c r="M9" s="2" t="n">
        <v>46069</v>
      </c>
      <c r="N9" s="3" t="s">
        <v>89</v>
      </c>
      <c r="O9" s="2" t="n">
        <v>46069</v>
      </c>
      <c r="P9" s="3" t="s">
        <v>90</v>
      </c>
      <c r="Q9" s="2" t="n">
        <v>46070</v>
      </c>
      <c r="R9" s="3" t="s">
        <v>91</v>
      </c>
      <c r="S9" s="3" t="s">
        <v>92</v>
      </c>
      <c r="T9" s="3" t="s">
        <v>45</v>
      </c>
      <c r="U9" s="3" t="s">
        <v>45</v>
      </c>
      <c r="V9" s="0" t="n">
        <v>1.5</v>
      </c>
      <c r="W9" s="0" t="n">
        <v>1</v>
      </c>
      <c r="X9" s="0" t="n">
        <v>2.9</v>
      </c>
      <c r="Y9" s="4" t="n">
        <f aca="false">J9*X9*W9</f>
        <v>7700.138</v>
      </c>
      <c r="Z9" s="4" t="n">
        <f aca="false">Y9*1.18</f>
        <v>9086.16284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2" t="n">
        <v>46070</v>
      </c>
      <c r="D10" s="3" t="s">
        <v>93</v>
      </c>
      <c r="E10" s="3" t="s">
        <v>94</v>
      </c>
      <c r="F10" s="3" t="s">
        <v>95</v>
      </c>
      <c r="G10" s="3" t="s">
        <v>30</v>
      </c>
      <c r="H10" s="0" t="n">
        <v>194</v>
      </c>
      <c r="I10" s="0" t="n">
        <v>1832.74</v>
      </c>
      <c r="J10" s="0" t="n">
        <v>1833.1</v>
      </c>
      <c r="K10" s="2" t="n">
        <v>46067</v>
      </c>
      <c r="L10" s="3" t="s">
        <v>96</v>
      </c>
      <c r="M10" s="2" t="n">
        <v>46067</v>
      </c>
      <c r="N10" s="3" t="s">
        <v>97</v>
      </c>
      <c r="O10" s="2" t="n">
        <v>46068</v>
      </c>
      <c r="P10" s="3" t="s">
        <v>98</v>
      </c>
      <c r="Q10" s="2" t="n">
        <v>46070</v>
      </c>
      <c r="R10" s="3" t="s">
        <v>99</v>
      </c>
      <c r="S10" s="3" t="s">
        <v>100</v>
      </c>
      <c r="T10" s="3" t="s">
        <v>101</v>
      </c>
      <c r="U10" s="3" t="s">
        <v>101</v>
      </c>
      <c r="V10" s="0" t="n">
        <v>1.5</v>
      </c>
      <c r="W10" s="0" t="n">
        <v>2</v>
      </c>
      <c r="X10" s="0" t="n">
        <v>4.9</v>
      </c>
      <c r="Y10" s="4" t="n">
        <f aca="false">J10*X10*W10</f>
        <v>17964.38</v>
      </c>
      <c r="Z10" s="4" t="n">
        <f aca="false">Y10*1.18</f>
        <v>21197.9684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2" t="n">
        <v>46070</v>
      </c>
      <c r="D11" s="3" t="s">
        <v>102</v>
      </c>
      <c r="E11" s="3" t="s">
        <v>103</v>
      </c>
      <c r="F11" s="3" t="s">
        <v>80</v>
      </c>
      <c r="G11" s="3" t="s">
        <v>30</v>
      </c>
      <c r="H11" s="0" t="n">
        <v>193</v>
      </c>
      <c r="I11" s="0" t="n">
        <v>723.38</v>
      </c>
      <c r="J11" s="0" t="n">
        <v>940.71</v>
      </c>
      <c r="K11" s="2" t="n">
        <v>46067</v>
      </c>
      <c r="L11" s="3" t="s">
        <v>104</v>
      </c>
      <c r="M11" s="2" t="n">
        <v>46067</v>
      </c>
      <c r="N11" s="3" t="s">
        <v>105</v>
      </c>
      <c r="O11" s="2" t="n">
        <v>46067</v>
      </c>
      <c r="P11" s="3" t="s">
        <v>106</v>
      </c>
      <c r="Q11" s="2" t="n">
        <v>46070</v>
      </c>
      <c r="R11" s="3" t="s">
        <v>107</v>
      </c>
      <c r="S11" s="3" t="s">
        <v>60</v>
      </c>
      <c r="T11" s="3" t="s">
        <v>36</v>
      </c>
      <c r="U11" s="3" t="s">
        <v>36</v>
      </c>
      <c r="V11" s="0" t="n">
        <v>1.5</v>
      </c>
      <c r="W11" s="0" t="n">
        <v>3</v>
      </c>
      <c r="X11" s="0" t="n">
        <v>2.9</v>
      </c>
      <c r="Y11" s="4" t="n">
        <f aca="false">J11*X11*W11</f>
        <v>8184.177</v>
      </c>
      <c r="Z11" s="4" t="n">
        <f aca="false">Y11*1.18</f>
        <v>9657.32886</v>
      </c>
    </row>
    <row r="12" customFormat="false" ht="15" hidden="false" customHeight="false" outlineLevel="0" collapsed="false">
      <c r="A12" s="0" t="n">
        <v>11</v>
      </c>
      <c r="B12" s="0" t="s">
        <v>77</v>
      </c>
      <c r="C12" s="2" t="n">
        <v>46070</v>
      </c>
      <c r="D12" s="3" t="s">
        <v>108</v>
      </c>
      <c r="E12" s="3" t="s">
        <v>109</v>
      </c>
      <c r="F12" s="3" t="s">
        <v>87</v>
      </c>
      <c r="G12" s="3" t="s">
        <v>30</v>
      </c>
      <c r="H12" s="0" t="n">
        <v>220</v>
      </c>
      <c r="I12" s="0" t="n">
        <v>271.4</v>
      </c>
      <c r="J12" s="0" t="n">
        <v>352.94</v>
      </c>
      <c r="K12" s="2" t="n">
        <v>46067</v>
      </c>
      <c r="L12" s="3" t="s">
        <v>110</v>
      </c>
      <c r="M12" s="2" t="n">
        <v>46068</v>
      </c>
      <c r="N12" s="3" t="s">
        <v>111</v>
      </c>
      <c r="O12" s="2" t="n">
        <v>46067</v>
      </c>
      <c r="P12" s="3" t="s">
        <v>112</v>
      </c>
      <c r="Q12" s="2" t="n">
        <v>46070</v>
      </c>
      <c r="R12" s="3" t="s">
        <v>113</v>
      </c>
      <c r="S12" s="3" t="s">
        <v>52</v>
      </c>
      <c r="T12" s="3" t="s">
        <v>36</v>
      </c>
      <c r="U12" s="3" t="s">
        <v>36</v>
      </c>
      <c r="V12" s="0" t="n">
        <v>1.5</v>
      </c>
      <c r="W12" s="0" t="n">
        <v>-1</v>
      </c>
      <c r="X12" s="0" t="n">
        <v>2.9</v>
      </c>
      <c r="Y12" s="4" t="n">
        <f aca="false">J12*X12*W12</f>
        <v>-1023.526</v>
      </c>
      <c r="Z12" s="4" t="n">
        <f aca="false">Y12*1.18</f>
        <v>-1207.76068</v>
      </c>
    </row>
    <row r="13" customFormat="false" ht="15" hidden="false" customHeight="false" outlineLevel="0" collapsed="false">
      <c r="A13" s="0" t="n">
        <v>12</v>
      </c>
      <c r="B13" s="0" t="s">
        <v>77</v>
      </c>
      <c r="C13" s="2" t="n">
        <v>46070</v>
      </c>
      <c r="D13" s="3" t="s">
        <v>114</v>
      </c>
      <c r="E13" s="3" t="s">
        <v>115</v>
      </c>
      <c r="F13" s="3" t="s">
        <v>70</v>
      </c>
      <c r="G13" s="3" t="s">
        <v>30</v>
      </c>
      <c r="H13" s="0" t="n">
        <v>43</v>
      </c>
      <c r="I13" s="0" t="n">
        <v>1184.62</v>
      </c>
      <c r="J13" s="0" t="n">
        <v>1303.38</v>
      </c>
      <c r="K13" s="2" t="n">
        <v>46069</v>
      </c>
      <c r="L13" s="3" t="s">
        <v>116</v>
      </c>
      <c r="M13" s="2" t="n">
        <v>46069</v>
      </c>
      <c r="N13" s="3" t="s">
        <v>117</v>
      </c>
      <c r="O13" s="2" t="n">
        <v>46069</v>
      </c>
      <c r="P13" s="3" t="s">
        <v>118</v>
      </c>
      <c r="Q13" s="2" t="n">
        <v>46070</v>
      </c>
      <c r="R13" s="3" t="s">
        <v>119</v>
      </c>
      <c r="S13" s="3" t="s">
        <v>120</v>
      </c>
      <c r="T13" s="3" t="s">
        <v>36</v>
      </c>
      <c r="U13" s="3" t="s">
        <v>36</v>
      </c>
      <c r="V13" s="0" t="n">
        <v>1.5</v>
      </c>
      <c r="W13" s="0" t="n">
        <v>2</v>
      </c>
      <c r="X13" s="0" t="n">
        <v>2.9</v>
      </c>
      <c r="Y13" s="4" t="n">
        <f aca="false">J13*X13*W13</f>
        <v>7559.604</v>
      </c>
      <c r="Z13" s="4" t="n">
        <f aca="false">Y13*1.18</f>
        <v>8920.33272</v>
      </c>
    </row>
    <row r="14" customFormat="false" ht="15" hidden="false" customHeight="false" outlineLevel="0" collapsed="false">
      <c r="A14" s="0" t="n">
        <v>13</v>
      </c>
      <c r="B14" s="0" t="s">
        <v>77</v>
      </c>
      <c r="C14" s="2" t="n">
        <v>46070</v>
      </c>
      <c r="D14" s="3" t="s">
        <v>121</v>
      </c>
      <c r="E14" s="3" t="s">
        <v>122</v>
      </c>
      <c r="F14" s="3" t="s">
        <v>70</v>
      </c>
      <c r="G14" s="3" t="s">
        <v>30</v>
      </c>
      <c r="H14" s="0" t="n">
        <v>83</v>
      </c>
      <c r="I14" s="0" t="n">
        <v>2959.12</v>
      </c>
      <c r="J14" s="0" t="n">
        <v>4438.95</v>
      </c>
      <c r="K14" s="2" t="n">
        <v>46067</v>
      </c>
      <c r="L14" s="3" t="s">
        <v>123</v>
      </c>
      <c r="M14" s="2" t="n">
        <v>46068</v>
      </c>
      <c r="N14" s="3" t="s">
        <v>124</v>
      </c>
      <c r="O14" s="2" t="n">
        <v>46067</v>
      </c>
      <c r="P14" s="3" t="s">
        <v>83</v>
      </c>
      <c r="Q14" s="2" t="n">
        <v>46070</v>
      </c>
      <c r="R14" s="3" t="s">
        <v>125</v>
      </c>
      <c r="S14" s="3" t="s">
        <v>100</v>
      </c>
      <c r="T14" s="3" t="s">
        <v>45</v>
      </c>
      <c r="U14" s="3" t="s">
        <v>45</v>
      </c>
      <c r="V14" s="0" t="n">
        <v>1.5</v>
      </c>
      <c r="W14" s="0" t="n">
        <v>-1</v>
      </c>
      <c r="X14" s="0" t="n">
        <v>2.9</v>
      </c>
      <c r="Y14" s="4" t="n">
        <f aca="false">J14*X14*W14</f>
        <v>-12872.955</v>
      </c>
      <c r="Z14" s="4" t="n">
        <f aca="false">Y14*1.18</f>
        <v>-15190.0869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2" t="n">
        <v>46071</v>
      </c>
      <c r="D15" s="3" t="s">
        <v>126</v>
      </c>
      <c r="E15" s="3" t="s">
        <v>127</v>
      </c>
      <c r="F15" s="3" t="s">
        <v>39</v>
      </c>
      <c r="G15" s="3" t="s">
        <v>30</v>
      </c>
      <c r="H15" s="0" t="n">
        <v>23</v>
      </c>
      <c r="I15" s="0" t="n">
        <v>1658.31</v>
      </c>
      <c r="J15" s="0" t="n">
        <v>1824.34</v>
      </c>
      <c r="K15" s="2" t="n">
        <v>46069</v>
      </c>
      <c r="L15" s="3" t="s">
        <v>128</v>
      </c>
      <c r="M15" s="2" t="n">
        <v>46069</v>
      </c>
      <c r="N15" s="3" t="s">
        <v>129</v>
      </c>
      <c r="O15" s="2" t="n">
        <v>46069</v>
      </c>
      <c r="P15" s="3" t="s">
        <v>130</v>
      </c>
      <c r="Q15" s="2" t="n">
        <v>46071</v>
      </c>
      <c r="R15" s="3" t="s">
        <v>131</v>
      </c>
      <c r="S15" s="3" t="s">
        <v>67</v>
      </c>
      <c r="T15" s="3" t="s">
        <v>101</v>
      </c>
      <c r="U15" s="3" t="s">
        <v>101</v>
      </c>
      <c r="V15" s="0" t="n">
        <v>1.5</v>
      </c>
      <c r="W15" s="0" t="n">
        <v>2</v>
      </c>
      <c r="X15" s="0" t="n">
        <v>4.9</v>
      </c>
      <c r="Y15" s="4" t="n">
        <f aca="false">J15*X15*W15</f>
        <v>17878.532</v>
      </c>
      <c r="Z15" s="4" t="n">
        <f aca="false">Y15*1.18</f>
        <v>21096.66776</v>
      </c>
    </row>
    <row r="16" customFormat="false" ht="15" hidden="false" customHeight="false" outlineLevel="0" collapsed="false">
      <c r="A16" s="0" t="n">
        <v>15</v>
      </c>
      <c r="B16" s="0" t="s">
        <v>53</v>
      </c>
      <c r="C16" s="2" t="n">
        <v>46071</v>
      </c>
      <c r="D16" s="3" t="s">
        <v>132</v>
      </c>
      <c r="E16" s="3" t="s">
        <v>133</v>
      </c>
      <c r="F16" s="3" t="s">
        <v>134</v>
      </c>
      <c r="G16" s="3" t="s">
        <v>30</v>
      </c>
      <c r="H16" s="0" t="n">
        <v>30</v>
      </c>
      <c r="I16" s="0" t="n">
        <v>1373.65</v>
      </c>
      <c r="J16" s="0" t="n">
        <v>1511.03</v>
      </c>
      <c r="K16" s="2" t="n">
        <v>46069</v>
      </c>
      <c r="L16" s="3" t="s">
        <v>135</v>
      </c>
      <c r="M16" s="2" t="n">
        <v>46069</v>
      </c>
      <c r="N16" s="3" t="s">
        <v>136</v>
      </c>
      <c r="O16" s="2" t="n">
        <v>46070</v>
      </c>
      <c r="P16" s="3" t="s">
        <v>137</v>
      </c>
      <c r="Q16" s="2" t="n">
        <v>46071</v>
      </c>
      <c r="R16" s="3" t="s">
        <v>138</v>
      </c>
      <c r="S16" s="3" t="s">
        <v>120</v>
      </c>
      <c r="T16" s="3" t="s">
        <v>139</v>
      </c>
      <c r="U16" s="3" t="s">
        <v>139</v>
      </c>
      <c r="V16" s="0" t="n">
        <v>1.5</v>
      </c>
      <c r="W16" s="0" t="n">
        <v>3</v>
      </c>
      <c r="X16" s="0" t="n">
        <v>2.4</v>
      </c>
      <c r="Y16" s="4" t="n">
        <f aca="false">J16*X16*W16</f>
        <v>10879.416</v>
      </c>
      <c r="Z16" s="4" t="n">
        <f aca="false">Y16*1.18</f>
        <v>12837.71088</v>
      </c>
    </row>
    <row r="17" customFormat="false" ht="15" hidden="false" customHeight="false" outlineLevel="0" collapsed="false">
      <c r="A17" s="0" t="n">
        <v>16</v>
      </c>
      <c r="B17" s="0" t="s">
        <v>77</v>
      </c>
      <c r="C17" s="2" t="n">
        <v>46071</v>
      </c>
      <c r="D17" s="3" t="s">
        <v>140</v>
      </c>
      <c r="E17" s="3" t="s">
        <v>141</v>
      </c>
      <c r="F17" s="3" t="s">
        <v>29</v>
      </c>
      <c r="G17" s="3" t="s">
        <v>30</v>
      </c>
      <c r="H17" s="0" t="n">
        <v>39</v>
      </c>
      <c r="I17" s="0" t="n">
        <v>2076.39</v>
      </c>
      <c r="J17" s="0" t="n">
        <v>2076.63</v>
      </c>
      <c r="K17" s="2" t="n">
        <v>46068</v>
      </c>
      <c r="L17" s="3" t="s">
        <v>107</v>
      </c>
      <c r="M17" s="2" t="n">
        <v>46068</v>
      </c>
      <c r="N17" s="3" t="s">
        <v>142</v>
      </c>
      <c r="O17" s="2" t="n">
        <v>46069</v>
      </c>
      <c r="P17" s="3" t="s">
        <v>143</v>
      </c>
      <c r="Q17" s="2" t="n">
        <v>46071</v>
      </c>
      <c r="R17" s="3" t="s">
        <v>144</v>
      </c>
      <c r="S17" s="3" t="s">
        <v>120</v>
      </c>
      <c r="T17" s="3" t="s">
        <v>36</v>
      </c>
      <c r="U17" s="3" t="s">
        <v>36</v>
      </c>
      <c r="V17" s="0" t="n">
        <v>1.5</v>
      </c>
      <c r="W17" s="0" t="n">
        <v>3</v>
      </c>
      <c r="X17" s="0" t="n">
        <v>2.9</v>
      </c>
      <c r="Y17" s="4" t="n">
        <f aca="false">J17*X17*W17</f>
        <v>18066.681</v>
      </c>
      <c r="Z17" s="4" t="n">
        <f aca="false">Y17*1.18</f>
        <v>21318.68358</v>
      </c>
    </row>
    <row r="18" customFormat="false" ht="15" hidden="false" customHeight="false" outlineLevel="0" collapsed="false">
      <c r="A18" s="0" t="n">
        <v>17</v>
      </c>
      <c r="B18" s="0" t="s">
        <v>77</v>
      </c>
      <c r="C18" s="2" t="n">
        <v>46071</v>
      </c>
      <c r="D18" s="3" t="s">
        <v>145</v>
      </c>
      <c r="E18" s="3" t="s">
        <v>146</v>
      </c>
      <c r="F18" s="3" t="s">
        <v>95</v>
      </c>
      <c r="G18" s="3" t="s">
        <v>30</v>
      </c>
      <c r="H18" s="0" t="n">
        <v>71</v>
      </c>
      <c r="I18" s="0" t="n">
        <v>2337.31</v>
      </c>
      <c r="J18" s="0" t="n">
        <v>2337.79</v>
      </c>
      <c r="K18" s="2" t="n">
        <v>46069</v>
      </c>
      <c r="L18" s="3" t="s">
        <v>147</v>
      </c>
      <c r="M18" s="2" t="n">
        <v>46069</v>
      </c>
      <c r="N18" s="3" t="s">
        <v>148</v>
      </c>
      <c r="O18" s="2" t="n">
        <v>46069</v>
      </c>
      <c r="P18" s="3" t="s">
        <v>149</v>
      </c>
      <c r="Q18" s="2" t="n">
        <v>46071</v>
      </c>
      <c r="R18" s="3" t="s">
        <v>150</v>
      </c>
      <c r="S18" s="3" t="s">
        <v>151</v>
      </c>
      <c r="T18" s="3" t="s">
        <v>152</v>
      </c>
      <c r="U18" s="3" t="s">
        <v>152</v>
      </c>
      <c r="V18" s="0" t="n">
        <v>1.5</v>
      </c>
      <c r="W18" s="0" t="n">
        <v>1</v>
      </c>
      <c r="X18" s="0" t="n">
        <v>11.5</v>
      </c>
      <c r="Y18" s="4" t="n">
        <f aca="false">J18*X18*W18</f>
        <v>26884.585</v>
      </c>
      <c r="Z18" s="4" t="n">
        <f aca="false">Y18*1.18</f>
        <v>31723.8103</v>
      </c>
    </row>
    <row r="19" customFormat="false" ht="15" hidden="false" customHeight="false" outlineLevel="0" collapsed="false">
      <c r="A19" s="0" t="n">
        <v>18</v>
      </c>
      <c r="B19" s="0" t="s">
        <v>77</v>
      </c>
      <c r="C19" s="2" t="n">
        <v>46071</v>
      </c>
      <c r="D19" s="3" t="s">
        <v>153</v>
      </c>
      <c r="E19" s="3" t="s">
        <v>154</v>
      </c>
      <c r="F19" s="3" t="s">
        <v>95</v>
      </c>
      <c r="G19" s="3" t="s">
        <v>30</v>
      </c>
      <c r="H19" s="0" t="n">
        <v>35</v>
      </c>
      <c r="I19" s="0" t="n">
        <v>930.99</v>
      </c>
      <c r="J19" s="0" t="n">
        <v>931.43</v>
      </c>
      <c r="K19" s="2" t="n">
        <v>46069</v>
      </c>
      <c r="L19" s="3" t="s">
        <v>155</v>
      </c>
      <c r="M19" s="2" t="n">
        <v>46069</v>
      </c>
      <c r="N19" s="3" t="s">
        <v>156</v>
      </c>
      <c r="O19" s="2" t="n">
        <v>46069</v>
      </c>
      <c r="P19" s="3" t="s">
        <v>157</v>
      </c>
      <c r="Q19" s="2" t="n">
        <v>46071</v>
      </c>
      <c r="R19" s="3" t="s">
        <v>158</v>
      </c>
      <c r="S19" s="3" t="s">
        <v>60</v>
      </c>
      <c r="T19" s="3" t="s">
        <v>36</v>
      </c>
      <c r="U19" s="3" t="s">
        <v>36</v>
      </c>
      <c r="V19" s="0" t="n">
        <v>1.5</v>
      </c>
      <c r="W19" s="0" t="n">
        <v>3</v>
      </c>
      <c r="X19" s="0" t="n">
        <v>2.9</v>
      </c>
      <c r="Y19" s="4" t="n">
        <f aca="false">J19*X19*W19</f>
        <v>8103.441</v>
      </c>
      <c r="Z19" s="4" t="n">
        <f aca="false">Y19*1.18</f>
        <v>9562.06038</v>
      </c>
    </row>
    <row r="20" customFormat="false" ht="15" hidden="false" customHeight="false" outlineLevel="0" collapsed="false">
      <c r="A20" s="0" t="n">
        <v>19</v>
      </c>
      <c r="B20" s="0" t="s">
        <v>77</v>
      </c>
      <c r="C20" s="2" t="n">
        <v>46071</v>
      </c>
      <c r="D20" s="3" t="s">
        <v>159</v>
      </c>
      <c r="E20" s="3" t="s">
        <v>160</v>
      </c>
      <c r="F20" s="3" t="s">
        <v>29</v>
      </c>
      <c r="G20" s="3" t="s">
        <v>30</v>
      </c>
      <c r="H20" s="0" t="n">
        <v>77</v>
      </c>
      <c r="I20" s="0" t="n">
        <v>1469.59</v>
      </c>
      <c r="J20" s="0" t="n">
        <v>1910.83</v>
      </c>
      <c r="K20" s="2" t="n">
        <v>46070</v>
      </c>
      <c r="L20" s="3" t="s">
        <v>161</v>
      </c>
      <c r="M20" s="2" t="n">
        <v>46070</v>
      </c>
      <c r="N20" s="3" t="s">
        <v>162</v>
      </c>
      <c r="O20" s="2" t="n">
        <v>46070</v>
      </c>
      <c r="P20" s="3" t="s">
        <v>163</v>
      </c>
      <c r="Q20" s="2" t="n">
        <v>46071</v>
      </c>
      <c r="R20" s="3" t="s">
        <v>164</v>
      </c>
      <c r="S20" s="3" t="s">
        <v>67</v>
      </c>
      <c r="T20" s="3" t="s">
        <v>36</v>
      </c>
      <c r="U20" s="3" t="s">
        <v>36</v>
      </c>
      <c r="V20" s="0" t="n">
        <v>1.5</v>
      </c>
      <c r="W20" s="0" t="n">
        <v>2</v>
      </c>
      <c r="X20" s="0" t="n">
        <v>2.9</v>
      </c>
      <c r="Y20" s="4" t="n">
        <f aca="false">J20*X20*W20</f>
        <v>11082.814</v>
      </c>
      <c r="Z20" s="4" t="n">
        <f aca="false">Y20*1.18</f>
        <v>13077.72052</v>
      </c>
    </row>
    <row r="21" customFormat="false" ht="15" hidden="false" customHeight="false" outlineLevel="0" collapsed="false">
      <c r="A21" s="0" t="n">
        <v>20</v>
      </c>
      <c r="B21" s="0" t="s">
        <v>26</v>
      </c>
      <c r="C21" s="2" t="n">
        <v>46072</v>
      </c>
      <c r="D21" s="3" t="s">
        <v>165</v>
      </c>
      <c r="E21" s="3" t="s">
        <v>166</v>
      </c>
      <c r="F21" s="3" t="s">
        <v>134</v>
      </c>
      <c r="G21" s="3" t="s">
        <v>30</v>
      </c>
      <c r="H21" s="0" t="n">
        <v>106</v>
      </c>
      <c r="I21" s="0" t="n">
        <v>2269.08</v>
      </c>
      <c r="J21" s="0" t="n">
        <v>2269.25</v>
      </c>
      <c r="K21" s="2" t="n">
        <v>46070</v>
      </c>
      <c r="L21" s="3" t="s">
        <v>167</v>
      </c>
      <c r="M21" s="2" t="n">
        <v>46070</v>
      </c>
      <c r="N21" s="3" t="s">
        <v>168</v>
      </c>
      <c r="O21" s="2" t="n">
        <v>46071</v>
      </c>
      <c r="P21" s="3" t="s">
        <v>169</v>
      </c>
      <c r="Q21" s="2" t="n">
        <v>46072</v>
      </c>
      <c r="R21" s="3" t="s">
        <v>170</v>
      </c>
      <c r="S21" s="3" t="s">
        <v>120</v>
      </c>
      <c r="T21" s="3" t="s">
        <v>36</v>
      </c>
      <c r="U21" s="3" t="s">
        <v>36</v>
      </c>
      <c r="V21" s="0" t="n">
        <v>1.5</v>
      </c>
      <c r="W21" s="0" t="n">
        <v>-1</v>
      </c>
      <c r="X21" s="0" t="n">
        <v>2.9</v>
      </c>
      <c r="Y21" s="4" t="n">
        <f aca="false">J21*X21*W21</f>
        <v>-6580.825</v>
      </c>
      <c r="Z21" s="4" t="n">
        <f aca="false">Y21*1.18</f>
        <v>-7765.3735</v>
      </c>
    </row>
    <row r="22" customFormat="false" ht="15" hidden="false" customHeight="false" outlineLevel="0" collapsed="false">
      <c r="A22" s="0" t="n">
        <v>21</v>
      </c>
      <c r="B22" s="0" t="s">
        <v>26</v>
      </c>
      <c r="C22" s="2" t="n">
        <v>46072</v>
      </c>
      <c r="D22" s="3" t="s">
        <v>171</v>
      </c>
      <c r="E22" s="3" t="s">
        <v>172</v>
      </c>
      <c r="F22" s="3" t="s">
        <v>95</v>
      </c>
      <c r="G22" s="3" t="s">
        <v>30</v>
      </c>
      <c r="H22" s="0" t="n">
        <v>76</v>
      </c>
      <c r="I22" s="0" t="n">
        <v>573.9</v>
      </c>
      <c r="J22" s="0" t="n">
        <v>574.3</v>
      </c>
      <c r="K22" s="2" t="n">
        <v>46070</v>
      </c>
      <c r="L22" s="3" t="s">
        <v>173</v>
      </c>
      <c r="M22" s="2" t="n">
        <v>46070</v>
      </c>
      <c r="N22" s="3" t="s">
        <v>174</v>
      </c>
      <c r="O22" s="2" t="n">
        <v>46071</v>
      </c>
      <c r="P22" s="3" t="s">
        <v>175</v>
      </c>
      <c r="Q22" s="2" t="n">
        <v>46072</v>
      </c>
      <c r="R22" s="3" t="s">
        <v>176</v>
      </c>
      <c r="S22" s="3" t="s">
        <v>177</v>
      </c>
      <c r="T22" s="3" t="s">
        <v>36</v>
      </c>
      <c r="U22" s="3" t="s">
        <v>36</v>
      </c>
      <c r="V22" s="0" t="n">
        <v>1.5</v>
      </c>
      <c r="W22" s="0" t="n">
        <v>1</v>
      </c>
      <c r="X22" s="0" t="n">
        <v>2.9</v>
      </c>
      <c r="Y22" s="4" t="n">
        <f aca="false">J22*X22*W22</f>
        <v>1665.47</v>
      </c>
      <c r="Z22" s="4" t="n">
        <f aca="false">Y22*1.18</f>
        <v>1965.2546</v>
      </c>
    </row>
    <row r="23" customFormat="false" ht="15" hidden="false" customHeight="false" outlineLevel="0" collapsed="false">
      <c r="A23" s="0" t="n">
        <v>22</v>
      </c>
      <c r="B23" s="0" t="s">
        <v>53</v>
      </c>
      <c r="C23" s="2" t="n">
        <v>46072</v>
      </c>
      <c r="D23" s="3" t="s">
        <v>178</v>
      </c>
      <c r="E23" s="3" t="s">
        <v>179</v>
      </c>
      <c r="F23" s="3" t="s">
        <v>39</v>
      </c>
      <c r="G23" s="3" t="s">
        <v>30</v>
      </c>
      <c r="H23" s="0" t="n">
        <v>36</v>
      </c>
      <c r="I23" s="0" t="n">
        <v>2936.17</v>
      </c>
      <c r="J23" s="0" t="n">
        <v>2936.42</v>
      </c>
      <c r="K23" s="2" t="n">
        <v>46071</v>
      </c>
      <c r="L23" s="3" t="s">
        <v>180</v>
      </c>
      <c r="M23" s="2" t="n">
        <v>46072</v>
      </c>
      <c r="N23" s="3" t="s">
        <v>181</v>
      </c>
      <c r="O23" s="2" t="n">
        <v>46072</v>
      </c>
      <c r="P23" s="3" t="s">
        <v>182</v>
      </c>
      <c r="Q23" s="2" t="n">
        <v>46072</v>
      </c>
      <c r="R23" s="3" t="s">
        <v>183</v>
      </c>
      <c r="S23" s="3" t="s">
        <v>44</v>
      </c>
      <c r="T23" s="3" t="s">
        <v>36</v>
      </c>
      <c r="U23" s="3" t="s">
        <v>36</v>
      </c>
      <c r="V23" s="0" t="n">
        <v>1.5</v>
      </c>
      <c r="W23" s="0" t="n">
        <v>3</v>
      </c>
      <c r="X23" s="0" t="n">
        <v>2.9</v>
      </c>
      <c r="Y23" s="4" t="n">
        <f aca="false">J23*X23*W23</f>
        <v>25546.854</v>
      </c>
      <c r="Z23" s="4" t="n">
        <f aca="false">Y23*1.18</f>
        <v>30145.28772</v>
      </c>
    </row>
    <row r="24" customFormat="false" ht="15" hidden="false" customHeight="false" outlineLevel="0" collapsed="false">
      <c r="A24" s="0" t="n">
        <v>23</v>
      </c>
      <c r="B24" s="0" t="s">
        <v>77</v>
      </c>
      <c r="C24" s="2" t="n">
        <v>46072</v>
      </c>
      <c r="D24" s="3" t="s">
        <v>184</v>
      </c>
      <c r="E24" s="3" t="s">
        <v>185</v>
      </c>
      <c r="F24" s="3" t="s">
        <v>39</v>
      </c>
      <c r="G24" s="3" t="s">
        <v>30</v>
      </c>
      <c r="H24" s="0" t="n">
        <v>182</v>
      </c>
      <c r="I24" s="0" t="n">
        <v>1567.66</v>
      </c>
      <c r="J24" s="0" t="n">
        <v>1567.85</v>
      </c>
      <c r="K24" s="2" t="n">
        <v>46069</v>
      </c>
      <c r="L24" s="3" t="s">
        <v>186</v>
      </c>
      <c r="M24" s="2" t="n">
        <v>46069</v>
      </c>
      <c r="N24" s="3" t="s">
        <v>147</v>
      </c>
      <c r="O24" s="2" t="n">
        <v>46070</v>
      </c>
      <c r="P24" s="3" t="s">
        <v>187</v>
      </c>
      <c r="Q24" s="2" t="n">
        <v>46072</v>
      </c>
      <c r="R24" s="3" t="s">
        <v>188</v>
      </c>
      <c r="S24" s="3" t="s">
        <v>151</v>
      </c>
      <c r="T24" s="3" t="s">
        <v>139</v>
      </c>
      <c r="U24" s="3" t="s">
        <v>139</v>
      </c>
      <c r="V24" s="0" t="n">
        <v>1.5</v>
      </c>
      <c r="W24" s="0" t="n">
        <v>3</v>
      </c>
      <c r="X24" s="0" t="n">
        <v>2.4</v>
      </c>
      <c r="Y24" s="4" t="n">
        <f aca="false">J24*X24*W24</f>
        <v>11288.52</v>
      </c>
      <c r="Z24" s="4" t="n">
        <f aca="false">Y24*1.18</f>
        <v>13320.4536</v>
      </c>
    </row>
    <row r="25" customFormat="false" ht="15" hidden="false" customHeight="false" outlineLevel="0" collapsed="false">
      <c r="A25" s="0" t="n">
        <v>24</v>
      </c>
      <c r="B25" s="0" t="s">
        <v>77</v>
      </c>
      <c r="C25" s="2" t="n">
        <v>46072</v>
      </c>
      <c r="D25" s="3" t="s">
        <v>189</v>
      </c>
      <c r="E25" s="3" t="s">
        <v>190</v>
      </c>
      <c r="F25" s="3" t="s">
        <v>87</v>
      </c>
      <c r="G25" s="3" t="s">
        <v>30</v>
      </c>
      <c r="H25" s="0" t="n">
        <v>37</v>
      </c>
      <c r="I25" s="0" t="n">
        <v>1609.45</v>
      </c>
      <c r="J25" s="0" t="n">
        <v>1609.78</v>
      </c>
      <c r="K25" s="2" t="n">
        <v>46071</v>
      </c>
      <c r="L25" s="3" t="s">
        <v>191</v>
      </c>
      <c r="M25" s="2" t="n">
        <v>46071</v>
      </c>
      <c r="N25" s="3" t="s">
        <v>192</v>
      </c>
      <c r="O25" s="2" t="n">
        <v>46071</v>
      </c>
      <c r="P25" s="3" t="s">
        <v>58</v>
      </c>
      <c r="Q25" s="2" t="n">
        <v>46072</v>
      </c>
      <c r="R25" s="3" t="s">
        <v>193</v>
      </c>
      <c r="S25" s="3" t="s">
        <v>75</v>
      </c>
      <c r="T25" s="3" t="s">
        <v>36</v>
      </c>
      <c r="U25" s="3" t="s">
        <v>36</v>
      </c>
      <c r="V25" s="0" t="n">
        <v>1.5</v>
      </c>
      <c r="W25" s="0" t="n">
        <v>-1</v>
      </c>
      <c r="X25" s="0" t="n">
        <v>2.9</v>
      </c>
      <c r="Y25" s="4" t="n">
        <f aca="false">J25*X25*W25</f>
        <v>-4668.362</v>
      </c>
      <c r="Z25" s="4" t="n">
        <f aca="false">Y25*1.18</f>
        <v>-5508.66716</v>
      </c>
    </row>
    <row r="26" customFormat="false" ht="15" hidden="false" customHeight="false" outlineLevel="0" collapsed="false">
      <c r="A26" s="0" t="n">
        <v>25</v>
      </c>
      <c r="B26" s="0" t="s">
        <v>53</v>
      </c>
      <c r="C26" s="2" t="n">
        <v>46073</v>
      </c>
      <c r="D26" s="3" t="s">
        <v>194</v>
      </c>
      <c r="E26" s="3" t="s">
        <v>195</v>
      </c>
      <c r="F26" s="3" t="s">
        <v>29</v>
      </c>
      <c r="G26" s="3" t="s">
        <v>30</v>
      </c>
      <c r="H26" s="0" t="n">
        <v>96</v>
      </c>
      <c r="I26" s="0" t="n">
        <v>1078.51</v>
      </c>
      <c r="J26" s="0" t="n">
        <v>1617.84</v>
      </c>
      <c r="K26" s="2" t="n">
        <v>46070</v>
      </c>
      <c r="L26" s="3" t="s">
        <v>135</v>
      </c>
      <c r="M26" s="2" t="n">
        <v>46070</v>
      </c>
      <c r="N26" s="3" t="s">
        <v>196</v>
      </c>
      <c r="O26" s="2" t="n">
        <v>46070</v>
      </c>
      <c r="P26" s="3" t="s">
        <v>197</v>
      </c>
      <c r="Q26" s="2" t="n">
        <v>46073</v>
      </c>
      <c r="R26" s="3" t="s">
        <v>198</v>
      </c>
      <c r="S26" s="3" t="s">
        <v>199</v>
      </c>
      <c r="T26" s="3" t="s">
        <v>36</v>
      </c>
      <c r="U26" s="3" t="s">
        <v>36</v>
      </c>
      <c r="V26" s="0" t="n">
        <v>1.5</v>
      </c>
      <c r="W26" s="0" t="n">
        <v>-1</v>
      </c>
      <c r="X26" s="0" t="n">
        <v>2.9</v>
      </c>
      <c r="Y26" s="4" t="n">
        <f aca="false">J26*X26*W26</f>
        <v>-4691.736</v>
      </c>
      <c r="Z26" s="4" t="n">
        <f aca="false">Y26*1.18</f>
        <v>-5536.24848</v>
      </c>
    </row>
    <row r="27" customFormat="false" ht="15" hidden="false" customHeight="false" outlineLevel="0" collapsed="false">
      <c r="A27" s="0" t="n">
        <v>26</v>
      </c>
      <c r="B27" s="0" t="s">
        <v>53</v>
      </c>
      <c r="C27" s="2" t="n">
        <v>46073</v>
      </c>
      <c r="D27" s="3" t="s">
        <v>200</v>
      </c>
      <c r="E27" s="3" t="s">
        <v>201</v>
      </c>
      <c r="F27" s="3" t="s">
        <v>134</v>
      </c>
      <c r="G27" s="3" t="s">
        <v>30</v>
      </c>
      <c r="H27" s="0" t="n">
        <v>62</v>
      </c>
      <c r="I27" s="0" t="n">
        <v>1988.98</v>
      </c>
      <c r="J27" s="0" t="n">
        <v>2983.55</v>
      </c>
      <c r="K27" s="2" t="n">
        <v>46071</v>
      </c>
      <c r="L27" s="3" t="s">
        <v>202</v>
      </c>
      <c r="M27" s="2" t="n">
        <v>46071</v>
      </c>
      <c r="N27" s="3" t="s">
        <v>203</v>
      </c>
      <c r="O27" s="2" t="n">
        <v>46072</v>
      </c>
      <c r="P27" s="3" t="s">
        <v>202</v>
      </c>
      <c r="Q27" s="2" t="n">
        <v>46073</v>
      </c>
      <c r="R27" s="3" t="s">
        <v>204</v>
      </c>
      <c r="S27" s="3" t="s">
        <v>205</v>
      </c>
      <c r="T27" s="3" t="s">
        <v>139</v>
      </c>
      <c r="U27" s="3" t="s">
        <v>139</v>
      </c>
      <c r="V27" s="0" t="n">
        <v>1.5</v>
      </c>
      <c r="W27" s="0" t="n">
        <v>2</v>
      </c>
      <c r="X27" s="0" t="n">
        <v>2.4</v>
      </c>
      <c r="Y27" s="4" t="n">
        <f aca="false">J27*X27*W27</f>
        <v>14321.04</v>
      </c>
      <c r="Z27" s="4" t="n">
        <f aca="false">Y27*1.18</f>
        <v>16898.8272</v>
      </c>
    </row>
    <row r="28" customFormat="false" ht="15" hidden="false" customHeight="false" outlineLevel="0" collapsed="false">
      <c r="A28" s="0" t="n">
        <v>27</v>
      </c>
      <c r="B28" s="0" t="s">
        <v>77</v>
      </c>
      <c r="C28" s="2" t="n">
        <v>46073</v>
      </c>
      <c r="D28" s="3" t="s">
        <v>206</v>
      </c>
      <c r="E28" s="3" t="s">
        <v>207</v>
      </c>
      <c r="F28" s="3" t="s">
        <v>134</v>
      </c>
      <c r="G28" s="3" t="s">
        <v>30</v>
      </c>
      <c r="H28" s="0" t="n">
        <v>109</v>
      </c>
      <c r="I28" s="0" t="n">
        <v>1106.4</v>
      </c>
      <c r="J28" s="0" t="n">
        <v>1106.72</v>
      </c>
      <c r="K28" s="2" t="n">
        <v>46071</v>
      </c>
      <c r="L28" s="3" t="s">
        <v>208</v>
      </c>
      <c r="M28" s="2" t="n">
        <v>46072</v>
      </c>
      <c r="N28" s="3" t="s">
        <v>209</v>
      </c>
      <c r="O28" s="2" t="n">
        <v>46071</v>
      </c>
      <c r="P28" s="3" t="s">
        <v>210</v>
      </c>
      <c r="Q28" s="2" t="n">
        <v>46073</v>
      </c>
      <c r="R28" s="3" t="s">
        <v>211</v>
      </c>
      <c r="S28" s="3" t="s">
        <v>212</v>
      </c>
      <c r="T28" s="3" t="s">
        <v>36</v>
      </c>
      <c r="U28" s="3" t="s">
        <v>36</v>
      </c>
      <c r="V28" s="0" t="n">
        <v>1.5</v>
      </c>
      <c r="W28" s="0" t="n">
        <v>1</v>
      </c>
      <c r="X28" s="0" t="n">
        <v>2.9</v>
      </c>
      <c r="Y28" s="4" t="n">
        <f aca="false">J28*X28*W28</f>
        <v>3209.488</v>
      </c>
      <c r="Z28" s="4" t="n">
        <f aca="false">Y28*1.18</f>
        <v>3787.19584</v>
      </c>
    </row>
    <row r="29" customFormat="false" ht="15" hidden="false" customHeight="false" outlineLevel="0" collapsed="false">
      <c r="A29" s="0" t="n">
        <v>28</v>
      </c>
      <c r="B29" s="0" t="s">
        <v>26</v>
      </c>
      <c r="C29" s="2" t="n">
        <v>46074</v>
      </c>
      <c r="D29" s="3" t="s">
        <v>213</v>
      </c>
      <c r="E29" s="3" t="s">
        <v>214</v>
      </c>
      <c r="F29" s="3" t="s">
        <v>134</v>
      </c>
      <c r="G29" s="3" t="s">
        <v>30</v>
      </c>
      <c r="H29" s="0" t="n">
        <v>180</v>
      </c>
      <c r="I29" s="0" t="n">
        <v>270.27</v>
      </c>
      <c r="J29" s="0" t="n">
        <v>405.85</v>
      </c>
      <c r="K29" s="2" t="n">
        <v>46073</v>
      </c>
      <c r="L29" s="3" t="s">
        <v>215</v>
      </c>
      <c r="M29" s="2" t="n">
        <v>46073</v>
      </c>
      <c r="N29" s="3" t="s">
        <v>216</v>
      </c>
      <c r="O29" s="2" t="n">
        <v>46074</v>
      </c>
      <c r="P29" s="3" t="s">
        <v>217</v>
      </c>
      <c r="Q29" s="2" t="n">
        <v>46074</v>
      </c>
      <c r="R29" s="3" t="s">
        <v>218</v>
      </c>
      <c r="S29" s="3" t="s">
        <v>75</v>
      </c>
      <c r="T29" s="3" t="s">
        <v>101</v>
      </c>
      <c r="U29" s="3" t="s">
        <v>101</v>
      </c>
      <c r="V29" s="0" t="n">
        <v>1.5</v>
      </c>
      <c r="W29" s="0" t="n">
        <v>4</v>
      </c>
      <c r="X29" s="0" t="n">
        <v>4.9</v>
      </c>
      <c r="Y29" s="4" t="n">
        <f aca="false">J29*X29*W29</f>
        <v>7954.66</v>
      </c>
      <c r="Z29" s="4" t="n">
        <f aca="false">Y29*1.18</f>
        <v>9386.4988</v>
      </c>
    </row>
    <row r="30" customFormat="false" ht="15" hidden="false" customHeight="false" outlineLevel="0" collapsed="false">
      <c r="A30" s="0" t="n">
        <v>29</v>
      </c>
      <c r="B30" s="0" t="s">
        <v>26</v>
      </c>
      <c r="C30" s="2" t="n">
        <v>46074</v>
      </c>
      <c r="D30" s="3" t="s">
        <v>219</v>
      </c>
      <c r="E30" s="3" t="s">
        <v>220</v>
      </c>
      <c r="F30" s="3" t="s">
        <v>70</v>
      </c>
      <c r="G30" s="3" t="s">
        <v>30</v>
      </c>
      <c r="H30" s="0" t="n">
        <v>98</v>
      </c>
      <c r="I30" s="0" t="n">
        <v>1037.11</v>
      </c>
      <c r="J30" s="0" t="n">
        <v>1348.61</v>
      </c>
      <c r="K30" s="2" t="n">
        <v>46072</v>
      </c>
      <c r="L30" s="3" t="s">
        <v>221</v>
      </c>
      <c r="M30" s="2" t="n">
        <v>46072</v>
      </c>
      <c r="N30" s="3" t="s">
        <v>222</v>
      </c>
      <c r="O30" s="2" t="n">
        <v>46073</v>
      </c>
      <c r="P30" s="3" t="s">
        <v>223</v>
      </c>
      <c r="Q30" s="2" t="n">
        <v>46074</v>
      </c>
      <c r="R30" s="3" t="s">
        <v>224</v>
      </c>
      <c r="S30" s="3" t="s">
        <v>120</v>
      </c>
      <c r="T30" s="3" t="s">
        <v>36</v>
      </c>
      <c r="U30" s="3" t="s">
        <v>36</v>
      </c>
      <c r="V30" s="0" t="n">
        <v>1.5</v>
      </c>
      <c r="W30" s="0" t="n">
        <v>1</v>
      </c>
      <c r="X30" s="0" t="n">
        <v>2.9</v>
      </c>
      <c r="Y30" s="4" t="n">
        <f aca="false">J30*X30*W30</f>
        <v>3910.969</v>
      </c>
      <c r="Z30" s="4" t="n">
        <f aca="false">Y30*1.18</f>
        <v>4614.94342</v>
      </c>
    </row>
    <row r="31" customFormat="false" ht="15" hidden="false" customHeight="false" outlineLevel="0" collapsed="false">
      <c r="A31" s="0" t="n">
        <v>30</v>
      </c>
      <c r="B31" s="0" t="s">
        <v>53</v>
      </c>
      <c r="C31" s="2" t="n">
        <v>46074</v>
      </c>
      <c r="D31" s="3" t="s">
        <v>225</v>
      </c>
      <c r="E31" s="3" t="s">
        <v>226</v>
      </c>
      <c r="F31" s="3" t="s">
        <v>87</v>
      </c>
      <c r="G31" s="3" t="s">
        <v>30</v>
      </c>
      <c r="H31" s="0" t="n">
        <v>132</v>
      </c>
      <c r="I31" s="0" t="n">
        <v>575.24</v>
      </c>
      <c r="J31" s="0" t="n">
        <v>575.4</v>
      </c>
      <c r="K31" s="2" t="n">
        <v>46072</v>
      </c>
      <c r="L31" s="3" t="s">
        <v>227</v>
      </c>
      <c r="M31" s="2" t="n">
        <v>46072</v>
      </c>
      <c r="N31" s="3" t="s">
        <v>49</v>
      </c>
      <c r="O31" s="2" t="n">
        <v>46072</v>
      </c>
      <c r="P31" s="3" t="s">
        <v>228</v>
      </c>
      <c r="Q31" s="2" t="n">
        <v>46074</v>
      </c>
      <c r="R31" s="3" t="s">
        <v>229</v>
      </c>
      <c r="S31" s="3" t="s">
        <v>67</v>
      </c>
      <c r="T31" s="3" t="s">
        <v>36</v>
      </c>
      <c r="U31" s="3" t="s">
        <v>36</v>
      </c>
      <c r="V31" s="0" t="n">
        <v>1.5</v>
      </c>
      <c r="W31" s="0" t="n">
        <v>1</v>
      </c>
      <c r="X31" s="0" t="n">
        <v>2.9</v>
      </c>
      <c r="Y31" s="4" t="n">
        <f aca="false">J31*X31*W31</f>
        <v>1668.66</v>
      </c>
      <c r="Z31" s="4" t="n">
        <f aca="false">Y31*1.18</f>
        <v>1969.0188</v>
      </c>
    </row>
    <row r="32" customFormat="false" ht="15" hidden="false" customHeight="false" outlineLevel="0" collapsed="false">
      <c r="A32" s="0" t="n">
        <v>31</v>
      </c>
      <c r="B32" s="0" t="s">
        <v>26</v>
      </c>
      <c r="C32" s="2" t="n">
        <v>46075</v>
      </c>
      <c r="D32" s="3" t="s">
        <v>230</v>
      </c>
      <c r="E32" s="3" t="s">
        <v>231</v>
      </c>
      <c r="F32" s="3" t="s">
        <v>95</v>
      </c>
      <c r="G32" s="3" t="s">
        <v>30</v>
      </c>
      <c r="H32" s="0" t="n">
        <v>73</v>
      </c>
      <c r="I32" s="0" t="n">
        <v>826.58</v>
      </c>
      <c r="J32" s="0" t="n">
        <v>826.66</v>
      </c>
      <c r="K32" s="2" t="n">
        <v>46073</v>
      </c>
      <c r="L32" s="3" t="s">
        <v>232</v>
      </c>
      <c r="M32" s="2" t="n">
        <v>46073</v>
      </c>
      <c r="N32" s="3" t="s">
        <v>233</v>
      </c>
      <c r="O32" s="2" t="n">
        <v>46074</v>
      </c>
      <c r="P32" s="3" t="s">
        <v>234</v>
      </c>
      <c r="Q32" s="2" t="n">
        <v>46075</v>
      </c>
      <c r="R32" s="3" t="s">
        <v>99</v>
      </c>
      <c r="S32" s="3" t="s">
        <v>67</v>
      </c>
      <c r="T32" s="3" t="s">
        <v>36</v>
      </c>
      <c r="U32" s="3" t="s">
        <v>36</v>
      </c>
      <c r="V32" s="0" t="n">
        <v>1.5</v>
      </c>
      <c r="W32" s="0" t="n">
        <v>2</v>
      </c>
      <c r="X32" s="0" t="n">
        <v>2.9</v>
      </c>
      <c r="Y32" s="4" t="n">
        <f aca="false">J32*X32*W32</f>
        <v>4794.628</v>
      </c>
      <c r="Z32" s="4" t="n">
        <f aca="false">Y32*1.18</f>
        <v>5657.66104</v>
      </c>
    </row>
    <row r="33" customFormat="false" ht="15" hidden="false" customHeight="false" outlineLevel="0" collapsed="false">
      <c r="A33" s="0" t="n">
        <v>32</v>
      </c>
      <c r="B33" s="0" t="s">
        <v>26</v>
      </c>
      <c r="C33" s="2" t="n">
        <v>46075</v>
      </c>
      <c r="D33" s="3" t="s">
        <v>235</v>
      </c>
      <c r="E33" s="3" t="s">
        <v>236</v>
      </c>
      <c r="F33" s="3" t="s">
        <v>95</v>
      </c>
      <c r="G33" s="3" t="s">
        <v>30</v>
      </c>
      <c r="H33" s="0" t="n">
        <v>133</v>
      </c>
      <c r="I33" s="0" t="n">
        <v>820.49</v>
      </c>
      <c r="J33" s="0" t="n">
        <v>1230.84</v>
      </c>
      <c r="K33" s="2" t="n">
        <v>46072</v>
      </c>
      <c r="L33" s="3" t="s">
        <v>237</v>
      </c>
      <c r="M33" s="2" t="n">
        <v>46072</v>
      </c>
      <c r="N33" s="3" t="s">
        <v>238</v>
      </c>
      <c r="O33" s="2" t="n">
        <v>46073</v>
      </c>
      <c r="P33" s="3" t="s">
        <v>239</v>
      </c>
      <c r="Q33" s="2" t="n">
        <v>46075</v>
      </c>
      <c r="R33" s="3" t="s">
        <v>65</v>
      </c>
      <c r="S33" s="3" t="s">
        <v>120</v>
      </c>
      <c r="T33" s="3" t="s">
        <v>36</v>
      </c>
      <c r="U33" s="3" t="s">
        <v>36</v>
      </c>
      <c r="V33" s="0" t="n">
        <v>1.5</v>
      </c>
      <c r="W33" s="0" t="n">
        <v>3</v>
      </c>
      <c r="X33" s="0" t="n">
        <v>2.9</v>
      </c>
      <c r="Y33" s="4" t="n">
        <f aca="false">J33*X33*W33</f>
        <v>10708.308</v>
      </c>
      <c r="Z33" s="4" t="n">
        <f aca="false">Y33*1.18</f>
        <v>12635.80344</v>
      </c>
    </row>
    <row r="34" customFormat="false" ht="15" hidden="false" customHeight="false" outlineLevel="0" collapsed="false">
      <c r="A34" s="0" t="n">
        <v>33</v>
      </c>
      <c r="B34" s="0" t="s">
        <v>26</v>
      </c>
      <c r="C34" s="2" t="n">
        <v>46075</v>
      </c>
      <c r="D34" s="3" t="s">
        <v>240</v>
      </c>
      <c r="E34" s="3" t="s">
        <v>241</v>
      </c>
      <c r="F34" s="3" t="s">
        <v>95</v>
      </c>
      <c r="G34" s="3" t="s">
        <v>30</v>
      </c>
      <c r="H34" s="0" t="n">
        <v>58</v>
      </c>
      <c r="I34" s="0" t="n">
        <v>1894.49</v>
      </c>
      <c r="J34" s="0" t="n">
        <v>2084.21</v>
      </c>
      <c r="K34" s="2" t="n">
        <v>46074</v>
      </c>
      <c r="L34" s="3" t="s">
        <v>242</v>
      </c>
      <c r="M34" s="2" t="n">
        <v>46075</v>
      </c>
      <c r="N34" s="3" t="s">
        <v>243</v>
      </c>
      <c r="O34" s="2" t="n">
        <v>46075</v>
      </c>
      <c r="P34" s="3" t="s">
        <v>244</v>
      </c>
      <c r="Q34" s="2" t="n">
        <v>46075</v>
      </c>
      <c r="R34" s="3" t="s">
        <v>245</v>
      </c>
      <c r="S34" s="3" t="s">
        <v>199</v>
      </c>
      <c r="T34" s="3" t="s">
        <v>36</v>
      </c>
      <c r="U34" s="3" t="s">
        <v>36</v>
      </c>
      <c r="V34" s="0" t="n">
        <v>1.5</v>
      </c>
      <c r="W34" s="0" t="n">
        <v>-1</v>
      </c>
      <c r="X34" s="0" t="n">
        <v>2.9</v>
      </c>
      <c r="Y34" s="4" t="n">
        <f aca="false">J34*X34*W34</f>
        <v>-6044.209</v>
      </c>
      <c r="Z34" s="4" t="n">
        <f aca="false">Y34*1.18</f>
        <v>-7132.16662</v>
      </c>
    </row>
    <row r="35" customFormat="false" ht="15" hidden="false" customHeight="false" outlineLevel="0" collapsed="false">
      <c r="A35" s="0" t="n">
        <v>34</v>
      </c>
      <c r="B35" s="0" t="s">
        <v>26</v>
      </c>
      <c r="C35" s="2" t="n">
        <v>46075</v>
      </c>
      <c r="D35" s="3" t="s">
        <v>246</v>
      </c>
      <c r="E35" s="3" t="s">
        <v>247</v>
      </c>
      <c r="F35" s="3" t="s">
        <v>80</v>
      </c>
      <c r="G35" s="3" t="s">
        <v>30</v>
      </c>
      <c r="H35" s="0" t="n">
        <v>87</v>
      </c>
      <c r="I35" s="0" t="n">
        <v>2825.45</v>
      </c>
      <c r="J35" s="0" t="n">
        <v>2825.51</v>
      </c>
      <c r="K35" s="2" t="n">
        <v>46073</v>
      </c>
      <c r="L35" s="3" t="s">
        <v>248</v>
      </c>
      <c r="M35" s="2" t="n">
        <v>46073</v>
      </c>
      <c r="N35" s="3" t="s">
        <v>249</v>
      </c>
      <c r="O35" s="2" t="n">
        <v>46073</v>
      </c>
      <c r="P35" s="3" t="s">
        <v>250</v>
      </c>
      <c r="Q35" s="2" t="n">
        <v>46075</v>
      </c>
      <c r="R35" s="3" t="s">
        <v>251</v>
      </c>
      <c r="S35" s="3" t="s">
        <v>252</v>
      </c>
      <c r="T35" s="3" t="s">
        <v>36</v>
      </c>
      <c r="U35" s="3" t="s">
        <v>36</v>
      </c>
      <c r="V35" s="0" t="n">
        <v>1.5</v>
      </c>
      <c r="W35" s="0" t="n">
        <v>3</v>
      </c>
      <c r="X35" s="0" t="n">
        <v>2.9</v>
      </c>
      <c r="Y35" s="4" t="n">
        <f aca="false">J35*X35*W35</f>
        <v>24581.937</v>
      </c>
      <c r="Z35" s="4" t="n">
        <f aca="false">Y35*1.18</f>
        <v>29006.68566</v>
      </c>
    </row>
    <row r="36" customFormat="false" ht="15" hidden="false" customHeight="false" outlineLevel="0" collapsed="false">
      <c r="A36" s="0" t="n">
        <v>35</v>
      </c>
      <c r="B36" s="0" t="s">
        <v>53</v>
      </c>
      <c r="C36" s="2" t="n">
        <v>46075</v>
      </c>
      <c r="D36" s="3" t="s">
        <v>253</v>
      </c>
      <c r="E36" s="3" t="s">
        <v>254</v>
      </c>
      <c r="F36" s="3" t="s">
        <v>70</v>
      </c>
      <c r="G36" s="3" t="s">
        <v>30</v>
      </c>
      <c r="H36" s="0" t="n">
        <v>141</v>
      </c>
      <c r="I36" s="0" t="n">
        <v>2544.34</v>
      </c>
      <c r="J36" s="0" t="n">
        <v>3816.89</v>
      </c>
      <c r="K36" s="2" t="n">
        <v>46074</v>
      </c>
      <c r="L36" s="3" t="s">
        <v>255</v>
      </c>
      <c r="M36" s="2" t="n">
        <v>46074</v>
      </c>
      <c r="N36" s="3" t="s">
        <v>256</v>
      </c>
      <c r="O36" s="2" t="n">
        <v>46075</v>
      </c>
      <c r="P36" s="3" t="s">
        <v>257</v>
      </c>
      <c r="Q36" s="2" t="n">
        <v>46075</v>
      </c>
      <c r="R36" s="3" t="s">
        <v>258</v>
      </c>
      <c r="S36" s="3" t="s">
        <v>151</v>
      </c>
      <c r="T36" s="3" t="s">
        <v>36</v>
      </c>
      <c r="U36" s="3" t="s">
        <v>36</v>
      </c>
      <c r="V36" s="0" t="n">
        <v>1.5</v>
      </c>
      <c r="W36" s="0" t="n">
        <v>2</v>
      </c>
      <c r="X36" s="0" t="n">
        <v>2.9</v>
      </c>
      <c r="Y36" s="4" t="n">
        <f aca="false">J36*X36*W36</f>
        <v>22137.962</v>
      </c>
      <c r="Z36" s="4" t="n">
        <f aca="false">Y36*1.18</f>
        <v>26122.79516</v>
      </c>
    </row>
    <row r="37" customFormat="false" ht="15" hidden="false" customHeight="false" outlineLevel="0" collapsed="false">
      <c r="A37" s="0" t="n">
        <v>36</v>
      </c>
      <c r="B37" s="0" t="s">
        <v>53</v>
      </c>
      <c r="C37" s="2" t="n">
        <v>46075</v>
      </c>
      <c r="D37" s="3" t="s">
        <v>259</v>
      </c>
      <c r="E37" s="3" t="s">
        <v>260</v>
      </c>
      <c r="F37" s="3" t="s">
        <v>134</v>
      </c>
      <c r="G37" s="3" t="s">
        <v>30</v>
      </c>
      <c r="H37" s="0" t="n">
        <v>135</v>
      </c>
      <c r="I37" s="0" t="n">
        <v>1720.72</v>
      </c>
      <c r="J37" s="0" t="n">
        <v>1721.2</v>
      </c>
      <c r="K37" s="2" t="n">
        <v>46072</v>
      </c>
      <c r="L37" s="3" t="s">
        <v>261</v>
      </c>
      <c r="M37" s="2" t="n">
        <v>46072</v>
      </c>
      <c r="N37" s="3" t="s">
        <v>262</v>
      </c>
      <c r="O37" s="2" t="n">
        <v>46073</v>
      </c>
      <c r="P37" s="3" t="s">
        <v>263</v>
      </c>
      <c r="Q37" s="2" t="n">
        <v>46075</v>
      </c>
      <c r="R37" s="3" t="s">
        <v>264</v>
      </c>
      <c r="S37" s="3" t="s">
        <v>92</v>
      </c>
      <c r="T37" s="3" t="s">
        <v>265</v>
      </c>
      <c r="U37" s="3" t="s">
        <v>265</v>
      </c>
      <c r="V37" s="0" t="n">
        <v>1.5</v>
      </c>
      <c r="W37" s="0" t="n">
        <v>1</v>
      </c>
      <c r="X37" s="0" t="n">
        <v>4.9</v>
      </c>
      <c r="Y37" s="4" t="n">
        <f aca="false">J37*X37*W37</f>
        <v>8433.88</v>
      </c>
      <c r="Z37" s="4" t="n">
        <f aca="false">Y37*1.18</f>
        <v>9951.9784</v>
      </c>
    </row>
    <row r="38" customFormat="false" ht="15" hidden="false" customHeight="false" outlineLevel="0" collapsed="false">
      <c r="A38" s="0" t="n">
        <v>37</v>
      </c>
      <c r="B38" s="0" t="s">
        <v>53</v>
      </c>
      <c r="C38" s="2" t="n">
        <v>46075</v>
      </c>
      <c r="D38" s="3" t="s">
        <v>266</v>
      </c>
      <c r="E38" s="3" t="s">
        <v>267</v>
      </c>
      <c r="F38" s="3" t="s">
        <v>70</v>
      </c>
      <c r="G38" s="3" t="s">
        <v>30</v>
      </c>
      <c r="H38" s="0" t="n">
        <v>160</v>
      </c>
      <c r="I38" s="0" t="n">
        <v>2637.82</v>
      </c>
      <c r="J38" s="0" t="n">
        <v>2638.02</v>
      </c>
      <c r="K38" s="2" t="n">
        <v>46072</v>
      </c>
      <c r="L38" s="3" t="s">
        <v>261</v>
      </c>
      <c r="M38" s="2" t="n">
        <v>46072</v>
      </c>
      <c r="N38" s="3" t="s">
        <v>268</v>
      </c>
      <c r="O38" s="2" t="n">
        <v>46072</v>
      </c>
      <c r="P38" s="3" t="s">
        <v>269</v>
      </c>
      <c r="Q38" s="2" t="n">
        <v>46075</v>
      </c>
      <c r="R38" s="3" t="s">
        <v>197</v>
      </c>
      <c r="S38" s="3" t="s">
        <v>120</v>
      </c>
      <c r="T38" s="3" t="s">
        <v>36</v>
      </c>
      <c r="U38" s="3" t="s">
        <v>36</v>
      </c>
      <c r="V38" s="0" t="n">
        <v>1.5</v>
      </c>
      <c r="W38" s="0" t="n">
        <v>1</v>
      </c>
      <c r="X38" s="0" t="n">
        <v>2.9</v>
      </c>
      <c r="Y38" s="4" t="n">
        <f aca="false">J38*X38*W38</f>
        <v>7650.258</v>
      </c>
      <c r="Z38" s="4" t="n">
        <f aca="false">Y38*1.18</f>
        <v>9027.30444</v>
      </c>
    </row>
    <row r="39" customFormat="false" ht="15" hidden="false" customHeight="false" outlineLevel="0" collapsed="false">
      <c r="A39" s="0" t="n">
        <v>38</v>
      </c>
      <c r="B39" s="0" t="s">
        <v>53</v>
      </c>
      <c r="C39" s="2" t="n">
        <v>46075</v>
      </c>
      <c r="D39" s="3" t="s">
        <v>270</v>
      </c>
      <c r="E39" s="3" t="s">
        <v>271</v>
      </c>
      <c r="F39" s="3" t="s">
        <v>134</v>
      </c>
      <c r="G39" s="3" t="s">
        <v>30</v>
      </c>
      <c r="H39" s="0" t="n">
        <v>37</v>
      </c>
      <c r="I39" s="0" t="n">
        <v>2808.57</v>
      </c>
      <c r="J39" s="0" t="n">
        <v>3651.34</v>
      </c>
      <c r="K39" s="2" t="n">
        <v>46073</v>
      </c>
      <c r="L39" s="3" t="s">
        <v>272</v>
      </c>
      <c r="M39" s="2" t="n">
        <v>46073</v>
      </c>
      <c r="N39" s="3" t="s">
        <v>273</v>
      </c>
      <c r="O39" s="2" t="n">
        <v>46073</v>
      </c>
      <c r="P39" s="3" t="s">
        <v>274</v>
      </c>
      <c r="Q39" s="2" t="n">
        <v>46075</v>
      </c>
      <c r="R39" s="3" t="s">
        <v>275</v>
      </c>
      <c r="S39" s="3" t="s">
        <v>252</v>
      </c>
      <c r="T39" s="3" t="s">
        <v>36</v>
      </c>
      <c r="U39" s="3" t="s">
        <v>36</v>
      </c>
      <c r="V39" s="0" t="n">
        <v>1.5</v>
      </c>
      <c r="W39" s="0" t="n">
        <v>3</v>
      </c>
      <c r="X39" s="0" t="n">
        <v>2.9</v>
      </c>
      <c r="Y39" s="4" t="n">
        <f aca="false">J39*X39*W39</f>
        <v>31766.658</v>
      </c>
      <c r="Z39" s="4" t="n">
        <f aca="false">Y39*1.18</f>
        <v>37484.65644</v>
      </c>
    </row>
    <row r="40" customFormat="false" ht="15" hidden="false" customHeight="false" outlineLevel="0" collapsed="false">
      <c r="A40" s="0" t="n">
        <v>39</v>
      </c>
      <c r="B40" s="0" t="s">
        <v>77</v>
      </c>
      <c r="C40" s="2" t="n">
        <v>46075</v>
      </c>
      <c r="D40" s="3" t="s">
        <v>276</v>
      </c>
      <c r="E40" s="3" t="s">
        <v>277</v>
      </c>
      <c r="F40" s="3" t="s">
        <v>39</v>
      </c>
      <c r="G40" s="3" t="s">
        <v>30</v>
      </c>
      <c r="H40" s="0" t="n">
        <v>90</v>
      </c>
      <c r="I40" s="0" t="n">
        <v>135.88</v>
      </c>
      <c r="J40" s="0" t="n">
        <v>176.75</v>
      </c>
      <c r="K40" s="2" t="n">
        <v>46072</v>
      </c>
      <c r="L40" s="3" t="s">
        <v>278</v>
      </c>
      <c r="M40" s="2" t="n">
        <v>46072</v>
      </c>
      <c r="N40" s="3" t="s">
        <v>279</v>
      </c>
      <c r="O40" s="2" t="n">
        <v>46072</v>
      </c>
      <c r="P40" s="3" t="s">
        <v>169</v>
      </c>
      <c r="Q40" s="2" t="n">
        <v>46075</v>
      </c>
      <c r="R40" s="3" t="s">
        <v>280</v>
      </c>
      <c r="S40" s="3" t="s">
        <v>281</v>
      </c>
      <c r="T40" s="3" t="s">
        <v>36</v>
      </c>
      <c r="U40" s="3" t="s">
        <v>36</v>
      </c>
      <c r="V40" s="0" t="n">
        <v>1.5</v>
      </c>
      <c r="W40" s="0" t="n">
        <v>3</v>
      </c>
      <c r="X40" s="0" t="n">
        <v>2.9</v>
      </c>
      <c r="Y40" s="4" t="n">
        <f aca="false">J40*X40*W40</f>
        <v>1537.725</v>
      </c>
      <c r="Z40" s="4" t="n">
        <f aca="false">Y40*1.18</f>
        <v>1814.5155</v>
      </c>
    </row>
    <row r="41" customFormat="false" ht="15" hidden="false" customHeight="false" outlineLevel="0" collapsed="false">
      <c r="A41" s="0" t="n">
        <v>40</v>
      </c>
      <c r="B41" s="0" t="s">
        <v>77</v>
      </c>
      <c r="C41" s="2" t="n">
        <v>46075</v>
      </c>
      <c r="D41" s="3" t="s">
        <v>282</v>
      </c>
      <c r="E41" s="3" t="s">
        <v>283</v>
      </c>
      <c r="F41" s="3" t="s">
        <v>70</v>
      </c>
      <c r="G41" s="3" t="s">
        <v>30</v>
      </c>
      <c r="H41" s="0" t="n">
        <v>153</v>
      </c>
      <c r="I41" s="0" t="n">
        <v>2231.67</v>
      </c>
      <c r="J41" s="0" t="n">
        <v>3347.57</v>
      </c>
      <c r="K41" s="2" t="n">
        <v>46074</v>
      </c>
      <c r="L41" s="3" t="s">
        <v>284</v>
      </c>
      <c r="M41" s="2" t="n">
        <v>46074</v>
      </c>
      <c r="N41" s="3" t="s">
        <v>285</v>
      </c>
      <c r="O41" s="2" t="n">
        <v>46074</v>
      </c>
      <c r="P41" s="3" t="s">
        <v>286</v>
      </c>
      <c r="Q41" s="2" t="n">
        <v>46075</v>
      </c>
      <c r="R41" s="3" t="s">
        <v>287</v>
      </c>
      <c r="S41" s="3" t="s">
        <v>151</v>
      </c>
      <c r="T41" s="3" t="s">
        <v>36</v>
      </c>
      <c r="U41" s="3" t="s">
        <v>36</v>
      </c>
      <c r="V41" s="0" t="n">
        <v>1.5</v>
      </c>
      <c r="W41" s="0" t="n">
        <v>3</v>
      </c>
      <c r="X41" s="0" t="n">
        <v>2.9</v>
      </c>
      <c r="Y41" s="4" t="n">
        <f aca="false">J41*X41*W41</f>
        <v>29123.859</v>
      </c>
      <c r="Z41" s="4" t="n">
        <f aca="false">Y41*1.18</f>
        <v>34366.15362</v>
      </c>
    </row>
    <row r="42" customFormat="false" ht="15" hidden="false" customHeight="false" outlineLevel="0" collapsed="false">
      <c r="A42" s="0" t="n">
        <v>41</v>
      </c>
      <c r="B42" s="0" t="s">
        <v>26</v>
      </c>
      <c r="C42" s="2" t="n">
        <v>46076</v>
      </c>
      <c r="D42" s="3" t="s">
        <v>288</v>
      </c>
      <c r="E42" s="3" t="s">
        <v>289</v>
      </c>
      <c r="F42" s="3" t="s">
        <v>29</v>
      </c>
      <c r="G42" s="3" t="s">
        <v>30</v>
      </c>
      <c r="H42" s="0" t="n">
        <v>40</v>
      </c>
      <c r="I42" s="0" t="n">
        <v>2735.45</v>
      </c>
      <c r="J42" s="0" t="n">
        <v>3009.42</v>
      </c>
      <c r="K42" s="2" t="n">
        <v>46074</v>
      </c>
      <c r="L42" s="3" t="s">
        <v>290</v>
      </c>
      <c r="M42" s="2" t="n">
        <v>46074</v>
      </c>
      <c r="N42" s="3" t="s">
        <v>291</v>
      </c>
      <c r="O42" s="2" t="n">
        <v>46074</v>
      </c>
      <c r="P42" s="3" t="s">
        <v>292</v>
      </c>
      <c r="Q42" s="2" t="n">
        <v>46076</v>
      </c>
      <c r="R42" s="3" t="s">
        <v>293</v>
      </c>
      <c r="S42" s="3" t="s">
        <v>281</v>
      </c>
      <c r="T42" s="3" t="s">
        <v>36</v>
      </c>
      <c r="U42" s="3" t="s">
        <v>36</v>
      </c>
      <c r="V42" s="0" t="n">
        <v>1.5</v>
      </c>
      <c r="W42" s="0" t="n">
        <v>3</v>
      </c>
      <c r="X42" s="0" t="n">
        <v>2.9</v>
      </c>
      <c r="Y42" s="4" t="n">
        <f aca="false">J42*X42*W42</f>
        <v>26181.954</v>
      </c>
      <c r="Z42" s="4" t="n">
        <f aca="false">Y42*1.18</f>
        <v>30894.70572</v>
      </c>
    </row>
    <row r="43" customFormat="false" ht="15" hidden="false" customHeight="false" outlineLevel="0" collapsed="false">
      <c r="A43" s="0" t="n">
        <v>42</v>
      </c>
      <c r="B43" s="0" t="s">
        <v>53</v>
      </c>
      <c r="C43" s="2" t="n">
        <v>46076</v>
      </c>
      <c r="D43" s="3" t="s">
        <v>294</v>
      </c>
      <c r="E43" s="3" t="s">
        <v>295</v>
      </c>
      <c r="F43" s="3" t="s">
        <v>95</v>
      </c>
      <c r="G43" s="3" t="s">
        <v>30</v>
      </c>
      <c r="H43" s="0" t="n">
        <v>45</v>
      </c>
      <c r="I43" s="0" t="n">
        <v>1558.72</v>
      </c>
      <c r="J43" s="0" t="n">
        <v>1558.8</v>
      </c>
      <c r="K43" s="2" t="n">
        <v>46075</v>
      </c>
      <c r="L43" s="3" t="s">
        <v>296</v>
      </c>
      <c r="M43" s="2" t="n">
        <v>46075</v>
      </c>
      <c r="N43" s="3" t="s">
        <v>297</v>
      </c>
      <c r="O43" s="2" t="n">
        <v>46076</v>
      </c>
      <c r="P43" s="3" t="s">
        <v>298</v>
      </c>
      <c r="Q43" s="2" t="n">
        <v>46076</v>
      </c>
      <c r="R43" s="3" t="s">
        <v>299</v>
      </c>
      <c r="S43" s="3" t="s">
        <v>151</v>
      </c>
      <c r="T43" s="3" t="s">
        <v>36</v>
      </c>
      <c r="U43" s="3" t="s">
        <v>36</v>
      </c>
      <c r="V43" s="0" t="n">
        <v>1.5</v>
      </c>
      <c r="W43" s="0" t="n">
        <v>2</v>
      </c>
      <c r="X43" s="0" t="n">
        <v>2.9</v>
      </c>
      <c r="Y43" s="4" t="n">
        <f aca="false">J43*X43*W43</f>
        <v>9041.04</v>
      </c>
      <c r="Z43" s="4" t="n">
        <f aca="false">Y43*1.18</f>
        <v>10668.4272</v>
      </c>
    </row>
    <row r="44" customFormat="false" ht="15" hidden="false" customHeight="false" outlineLevel="0" collapsed="false">
      <c r="A44" s="0" t="n">
        <v>43</v>
      </c>
      <c r="B44" s="0" t="s">
        <v>77</v>
      </c>
      <c r="C44" s="2" t="n">
        <v>46076</v>
      </c>
      <c r="D44" s="3" t="s">
        <v>300</v>
      </c>
      <c r="E44" s="3" t="s">
        <v>301</v>
      </c>
      <c r="F44" s="3" t="s">
        <v>80</v>
      </c>
      <c r="G44" s="3" t="s">
        <v>30</v>
      </c>
      <c r="H44" s="0" t="n">
        <v>50</v>
      </c>
      <c r="I44" s="0" t="n">
        <v>213.5</v>
      </c>
      <c r="J44" s="0" t="n">
        <v>277.91</v>
      </c>
      <c r="K44" s="2" t="n">
        <v>46074</v>
      </c>
      <c r="L44" s="3" t="s">
        <v>302</v>
      </c>
      <c r="M44" s="2" t="n">
        <v>46074</v>
      </c>
      <c r="N44" s="3" t="s">
        <v>119</v>
      </c>
      <c r="O44" s="2" t="n">
        <v>46075</v>
      </c>
      <c r="P44" s="3" t="s">
        <v>303</v>
      </c>
      <c r="Q44" s="2" t="n">
        <v>46076</v>
      </c>
      <c r="R44" s="3" t="s">
        <v>304</v>
      </c>
      <c r="S44" s="3" t="s">
        <v>205</v>
      </c>
      <c r="T44" s="3" t="s">
        <v>45</v>
      </c>
      <c r="U44" s="3" t="s">
        <v>45</v>
      </c>
      <c r="V44" s="0" t="n">
        <v>1.5</v>
      </c>
      <c r="W44" s="0" t="n">
        <v>3</v>
      </c>
      <c r="X44" s="0" t="n">
        <v>2.9</v>
      </c>
      <c r="Y44" s="4" t="n">
        <f aca="false">J44*X44*W44</f>
        <v>2417.817</v>
      </c>
      <c r="Z44" s="4" t="n">
        <f aca="false">Y44*1.18</f>
        <v>2853.02406</v>
      </c>
    </row>
    <row r="45" customFormat="false" ht="15" hidden="false" customHeight="false" outlineLevel="0" collapsed="false">
      <c r="A45" s="0" t="n">
        <v>44</v>
      </c>
      <c r="B45" s="0" t="s">
        <v>77</v>
      </c>
      <c r="C45" s="2" t="n">
        <v>46076</v>
      </c>
      <c r="D45" s="3" t="s">
        <v>305</v>
      </c>
      <c r="E45" s="3" t="s">
        <v>306</v>
      </c>
      <c r="F45" s="3" t="s">
        <v>29</v>
      </c>
      <c r="G45" s="3" t="s">
        <v>30</v>
      </c>
      <c r="H45" s="0" t="n">
        <v>171</v>
      </c>
      <c r="I45" s="0" t="n">
        <v>2506.15</v>
      </c>
      <c r="J45" s="0" t="n">
        <v>3759.5</v>
      </c>
      <c r="K45" s="2" t="n">
        <v>46075</v>
      </c>
      <c r="L45" s="3" t="s">
        <v>307</v>
      </c>
      <c r="M45" s="2" t="n">
        <v>46075</v>
      </c>
      <c r="N45" s="3" t="s">
        <v>308</v>
      </c>
      <c r="O45" s="2" t="n">
        <v>46076</v>
      </c>
      <c r="P45" s="3" t="s">
        <v>309</v>
      </c>
      <c r="Q45" s="2" t="n">
        <v>46076</v>
      </c>
      <c r="R45" s="3" t="s">
        <v>74</v>
      </c>
      <c r="S45" s="3" t="s">
        <v>60</v>
      </c>
      <c r="T45" s="3" t="s">
        <v>36</v>
      </c>
      <c r="U45" s="3" t="s">
        <v>36</v>
      </c>
      <c r="V45" s="0" t="n">
        <v>1.5</v>
      </c>
      <c r="W45" s="0" t="n">
        <v>1</v>
      </c>
      <c r="X45" s="0" t="n">
        <v>2.9</v>
      </c>
      <c r="Y45" s="4" t="n">
        <f aca="false">J45*X45*W45</f>
        <v>10902.55</v>
      </c>
      <c r="Z45" s="4" t="n">
        <f aca="false">Y45*1.18</f>
        <v>12865.009</v>
      </c>
    </row>
    <row r="46" customFormat="false" ht="15" hidden="false" customHeight="false" outlineLevel="0" collapsed="false">
      <c r="A46" s="0" t="n">
        <v>45</v>
      </c>
      <c r="B46" s="0" t="s">
        <v>77</v>
      </c>
      <c r="C46" s="2" t="n">
        <v>46076</v>
      </c>
      <c r="D46" s="3" t="s">
        <v>310</v>
      </c>
      <c r="E46" s="3" t="s">
        <v>311</v>
      </c>
      <c r="F46" s="3" t="s">
        <v>70</v>
      </c>
      <c r="G46" s="3" t="s">
        <v>30</v>
      </c>
      <c r="H46" s="0" t="n">
        <v>77</v>
      </c>
      <c r="I46" s="0" t="n">
        <v>1103.85</v>
      </c>
      <c r="J46" s="0" t="n">
        <v>1655.83</v>
      </c>
      <c r="K46" s="2" t="n">
        <v>46075</v>
      </c>
      <c r="L46" s="3" t="s">
        <v>312</v>
      </c>
      <c r="M46" s="2" t="n">
        <v>46075</v>
      </c>
      <c r="N46" s="3" t="s">
        <v>313</v>
      </c>
      <c r="O46" s="2" t="n">
        <v>46076</v>
      </c>
      <c r="P46" s="3" t="s">
        <v>314</v>
      </c>
      <c r="Q46" s="2" t="n">
        <v>46076</v>
      </c>
      <c r="R46" s="3" t="s">
        <v>315</v>
      </c>
      <c r="S46" s="3" t="s">
        <v>205</v>
      </c>
      <c r="T46" s="3" t="s">
        <v>36</v>
      </c>
      <c r="U46" s="3" t="s">
        <v>36</v>
      </c>
      <c r="V46" s="0" t="n">
        <v>1.5</v>
      </c>
      <c r="W46" s="0" t="n">
        <v>-1</v>
      </c>
      <c r="X46" s="0" t="n">
        <v>2.9</v>
      </c>
      <c r="Y46" s="4" t="n">
        <f aca="false">J46*X46*W46</f>
        <v>-4801.907</v>
      </c>
      <c r="Z46" s="4" t="n">
        <f aca="false">Y46*1.18</f>
        <v>-5666.25026</v>
      </c>
    </row>
    <row r="47" customFormat="false" ht="15" hidden="false" customHeight="false" outlineLevel="0" collapsed="false">
      <c r="A47" s="0" t="n">
        <v>46</v>
      </c>
      <c r="B47" s="0" t="s">
        <v>77</v>
      </c>
      <c r="C47" s="2" t="n">
        <v>46076</v>
      </c>
      <c r="D47" s="3" t="s">
        <v>316</v>
      </c>
      <c r="E47" s="3" t="s">
        <v>317</v>
      </c>
      <c r="F47" s="3" t="s">
        <v>70</v>
      </c>
      <c r="G47" s="3" t="s">
        <v>30</v>
      </c>
      <c r="H47" s="0" t="n">
        <v>116</v>
      </c>
      <c r="I47" s="0" t="n">
        <v>1533.22</v>
      </c>
      <c r="J47" s="0" t="n">
        <v>1533.57</v>
      </c>
      <c r="K47" s="2" t="n">
        <v>46073</v>
      </c>
      <c r="L47" s="3" t="s">
        <v>318</v>
      </c>
      <c r="M47" s="2" t="n">
        <v>46073</v>
      </c>
      <c r="N47" s="3" t="s">
        <v>319</v>
      </c>
      <c r="O47" s="2" t="n">
        <v>46073</v>
      </c>
      <c r="P47" s="3" t="s">
        <v>320</v>
      </c>
      <c r="Q47" s="2" t="n">
        <v>46076</v>
      </c>
      <c r="R47" s="3" t="s">
        <v>321</v>
      </c>
      <c r="S47" s="3" t="s">
        <v>252</v>
      </c>
      <c r="T47" s="3" t="s">
        <v>36</v>
      </c>
      <c r="U47" s="3" t="s">
        <v>36</v>
      </c>
      <c r="V47" s="0" t="n">
        <v>1.5</v>
      </c>
      <c r="W47" s="0" t="n">
        <v>2</v>
      </c>
      <c r="X47" s="0" t="n">
        <v>2.9</v>
      </c>
      <c r="Y47" s="4" t="n">
        <f aca="false">J47*X47*W47</f>
        <v>8894.706</v>
      </c>
      <c r="Z47" s="4" t="n">
        <f aca="false">Y47*1.18</f>
        <v>10495.75308</v>
      </c>
    </row>
    <row r="48" customFormat="false" ht="15" hidden="false" customHeight="false" outlineLevel="0" collapsed="false">
      <c r="A48" s="0" t="n">
        <v>47</v>
      </c>
      <c r="B48" s="0" t="s">
        <v>26</v>
      </c>
      <c r="C48" s="2" t="n">
        <v>46077</v>
      </c>
      <c r="D48" s="3" t="s">
        <v>322</v>
      </c>
      <c r="E48" s="3" t="s">
        <v>323</v>
      </c>
      <c r="F48" s="3" t="s">
        <v>134</v>
      </c>
      <c r="G48" s="3" t="s">
        <v>30</v>
      </c>
      <c r="H48" s="0" t="n">
        <v>193</v>
      </c>
      <c r="I48" s="0" t="n">
        <v>696.7</v>
      </c>
      <c r="J48" s="0" t="n">
        <v>906.07</v>
      </c>
      <c r="K48" s="2" t="n">
        <v>46074</v>
      </c>
      <c r="L48" s="3" t="s">
        <v>324</v>
      </c>
      <c r="M48" s="2" t="n">
        <v>46074</v>
      </c>
      <c r="N48" s="3" t="s">
        <v>325</v>
      </c>
      <c r="O48" s="2" t="n">
        <v>46074</v>
      </c>
      <c r="P48" s="3" t="s">
        <v>157</v>
      </c>
      <c r="Q48" s="2" t="n">
        <v>46077</v>
      </c>
      <c r="R48" s="3" t="s">
        <v>296</v>
      </c>
      <c r="S48" s="3" t="s">
        <v>326</v>
      </c>
      <c r="T48" s="3" t="s">
        <v>36</v>
      </c>
      <c r="U48" s="3" t="s">
        <v>36</v>
      </c>
      <c r="V48" s="0" t="n">
        <v>1.5</v>
      </c>
      <c r="W48" s="0" t="n">
        <v>1</v>
      </c>
      <c r="X48" s="0" t="n">
        <v>2.9</v>
      </c>
      <c r="Y48" s="4" t="n">
        <f aca="false">J48*X48*W48</f>
        <v>2627.603</v>
      </c>
      <c r="Z48" s="4" t="n">
        <f aca="false">Y48*1.18</f>
        <v>3100.57154</v>
      </c>
    </row>
    <row r="49" customFormat="false" ht="15" hidden="false" customHeight="false" outlineLevel="0" collapsed="false">
      <c r="A49" s="0" t="n">
        <v>48</v>
      </c>
      <c r="B49" s="0" t="s">
        <v>26</v>
      </c>
      <c r="C49" s="2" t="n">
        <v>46077</v>
      </c>
      <c r="D49" s="3" t="s">
        <v>327</v>
      </c>
      <c r="E49" s="3" t="s">
        <v>328</v>
      </c>
      <c r="F49" s="3" t="s">
        <v>29</v>
      </c>
      <c r="G49" s="3" t="s">
        <v>30</v>
      </c>
      <c r="H49" s="0" t="n">
        <v>155</v>
      </c>
      <c r="I49" s="0" t="n">
        <v>734.27</v>
      </c>
      <c r="J49" s="0" t="n">
        <v>734.39</v>
      </c>
      <c r="K49" s="2" t="n">
        <v>46075</v>
      </c>
      <c r="L49" s="3" t="s">
        <v>329</v>
      </c>
      <c r="M49" s="2" t="n">
        <v>46076</v>
      </c>
      <c r="N49" s="3" t="s">
        <v>330</v>
      </c>
      <c r="O49" s="2" t="n">
        <v>46076</v>
      </c>
      <c r="P49" s="3" t="s">
        <v>331</v>
      </c>
      <c r="Q49" s="2" t="n">
        <v>46077</v>
      </c>
      <c r="R49" s="3" t="s">
        <v>332</v>
      </c>
      <c r="S49" s="3" t="s">
        <v>151</v>
      </c>
      <c r="T49" s="3" t="s">
        <v>76</v>
      </c>
      <c r="U49" s="3" t="s">
        <v>76</v>
      </c>
      <c r="V49" s="0" t="n">
        <v>1.5</v>
      </c>
      <c r="W49" s="0" t="n">
        <v>-1</v>
      </c>
      <c r="X49" s="0" t="n">
        <v>4.9</v>
      </c>
      <c r="Y49" s="4" t="n">
        <f aca="false">J49*X49*W49</f>
        <v>-3598.511</v>
      </c>
      <c r="Z49" s="4" t="n">
        <f aca="false">Y49*1.18</f>
        <v>-4246.24298</v>
      </c>
    </row>
    <row r="50" customFormat="false" ht="15" hidden="false" customHeight="false" outlineLevel="0" collapsed="false">
      <c r="A50" s="0" t="n">
        <v>49</v>
      </c>
      <c r="B50" s="0" t="s">
        <v>53</v>
      </c>
      <c r="C50" s="2" t="n">
        <v>46077</v>
      </c>
      <c r="D50" s="3" t="s">
        <v>333</v>
      </c>
      <c r="E50" s="3" t="s">
        <v>334</v>
      </c>
      <c r="F50" s="3" t="s">
        <v>95</v>
      </c>
      <c r="G50" s="3" t="s">
        <v>30</v>
      </c>
      <c r="H50" s="0" t="n">
        <v>193</v>
      </c>
      <c r="I50" s="0" t="n">
        <v>238.9</v>
      </c>
      <c r="J50" s="0" t="n">
        <v>262.95</v>
      </c>
      <c r="K50" s="2" t="n">
        <v>46074</v>
      </c>
      <c r="L50" s="3" t="s">
        <v>335</v>
      </c>
      <c r="M50" s="2" t="n">
        <v>46074</v>
      </c>
      <c r="N50" s="3" t="s">
        <v>336</v>
      </c>
      <c r="O50" s="2" t="n">
        <v>46075</v>
      </c>
      <c r="P50" s="3" t="s">
        <v>337</v>
      </c>
      <c r="Q50" s="2" t="n">
        <v>46077</v>
      </c>
      <c r="R50" s="3" t="s">
        <v>338</v>
      </c>
      <c r="S50" s="3" t="s">
        <v>60</v>
      </c>
      <c r="T50" s="3" t="s">
        <v>36</v>
      </c>
      <c r="U50" s="3" t="s">
        <v>36</v>
      </c>
      <c r="V50" s="0" t="n">
        <v>1.5</v>
      </c>
      <c r="W50" s="0" t="n">
        <v>1</v>
      </c>
      <c r="X50" s="0" t="n">
        <v>2.9</v>
      </c>
      <c r="Y50" s="4" t="n">
        <f aca="false">J50*X50*W50</f>
        <v>762.555</v>
      </c>
      <c r="Z50" s="4" t="n">
        <f aca="false">Y50*1.18</f>
        <v>899.8149</v>
      </c>
    </row>
    <row r="51" customFormat="false" ht="15" hidden="false" customHeight="false" outlineLevel="0" collapsed="false">
      <c r="A51" s="0" t="n">
        <v>50</v>
      </c>
      <c r="B51" s="0" t="s">
        <v>77</v>
      </c>
      <c r="C51" s="2" t="n">
        <v>46077</v>
      </c>
      <c r="D51" s="3" t="s">
        <v>339</v>
      </c>
      <c r="E51" s="3" t="s">
        <v>340</v>
      </c>
      <c r="F51" s="3" t="s">
        <v>95</v>
      </c>
      <c r="G51" s="3" t="s">
        <v>30</v>
      </c>
      <c r="H51" s="0" t="n">
        <v>203</v>
      </c>
      <c r="I51" s="0" t="n">
        <v>573.84</v>
      </c>
      <c r="J51" s="0" t="n">
        <v>573.97</v>
      </c>
      <c r="K51" s="2" t="n">
        <v>46075</v>
      </c>
      <c r="L51" s="3" t="s">
        <v>341</v>
      </c>
      <c r="M51" s="2" t="n">
        <v>46075</v>
      </c>
      <c r="N51" s="3" t="s">
        <v>342</v>
      </c>
      <c r="O51" s="2" t="n">
        <v>46075</v>
      </c>
      <c r="P51" s="3" t="s">
        <v>343</v>
      </c>
      <c r="Q51" s="2" t="n">
        <v>46077</v>
      </c>
      <c r="R51" s="3" t="s">
        <v>344</v>
      </c>
      <c r="S51" s="3" t="s">
        <v>52</v>
      </c>
      <c r="T51" s="3" t="s">
        <v>36</v>
      </c>
      <c r="U51" s="3" t="s">
        <v>36</v>
      </c>
      <c r="V51" s="0" t="n">
        <v>1.5</v>
      </c>
      <c r="W51" s="0" t="n">
        <v>3</v>
      </c>
      <c r="X51" s="0" t="n">
        <v>2.9</v>
      </c>
      <c r="Y51" s="4" t="n">
        <f aca="false">J51*X51*W51</f>
        <v>4993.539</v>
      </c>
      <c r="Z51" s="4" t="n">
        <f aca="false">Y51*1.18</f>
        <v>5892.37602</v>
      </c>
    </row>
    <row r="52" customFormat="false" ht="15" hidden="false" customHeight="false" outlineLevel="0" collapsed="false">
      <c r="A52" s="0" t="n">
        <v>51</v>
      </c>
      <c r="B52" s="0" t="s">
        <v>77</v>
      </c>
      <c r="C52" s="2" t="n">
        <v>46077</v>
      </c>
      <c r="D52" s="3" t="s">
        <v>345</v>
      </c>
      <c r="E52" s="3" t="s">
        <v>346</v>
      </c>
      <c r="F52" s="3" t="s">
        <v>95</v>
      </c>
      <c r="G52" s="3" t="s">
        <v>30</v>
      </c>
      <c r="H52" s="0" t="n">
        <v>36</v>
      </c>
      <c r="I52" s="0" t="n">
        <v>2018.61</v>
      </c>
      <c r="J52" s="0" t="n">
        <v>2018.79</v>
      </c>
      <c r="K52" s="2" t="n">
        <v>46076</v>
      </c>
      <c r="L52" s="3" t="s">
        <v>347</v>
      </c>
      <c r="M52" s="2" t="n">
        <v>46076</v>
      </c>
      <c r="N52" s="3" t="s">
        <v>348</v>
      </c>
      <c r="O52" s="2" t="n">
        <v>46076</v>
      </c>
      <c r="P52" s="3" t="s">
        <v>349</v>
      </c>
      <c r="Q52" s="2" t="n">
        <v>46077</v>
      </c>
      <c r="R52" s="3" t="s">
        <v>350</v>
      </c>
      <c r="S52" s="3" t="s">
        <v>177</v>
      </c>
      <c r="T52" s="3" t="s">
        <v>36</v>
      </c>
      <c r="U52" s="3" t="s">
        <v>36</v>
      </c>
      <c r="V52" s="0" t="n">
        <v>1.5</v>
      </c>
      <c r="W52" s="0" t="n">
        <v>2</v>
      </c>
      <c r="X52" s="0" t="n">
        <v>2.9</v>
      </c>
      <c r="Y52" s="4" t="n">
        <f aca="false">J52*X52*W52</f>
        <v>11708.982</v>
      </c>
      <c r="Z52" s="4" t="n">
        <f aca="false">Y52*1.18</f>
        <v>13816.59876</v>
      </c>
    </row>
    <row r="53" customFormat="false" ht="15" hidden="false" customHeight="false" outlineLevel="0" collapsed="false">
      <c r="A53" s="0" t="n">
        <v>52</v>
      </c>
      <c r="B53" s="0" t="s">
        <v>26</v>
      </c>
      <c r="C53" s="2" t="n">
        <v>46078</v>
      </c>
      <c r="D53" s="3" t="s">
        <v>351</v>
      </c>
      <c r="E53" s="3" t="s">
        <v>352</v>
      </c>
      <c r="F53" s="3" t="s">
        <v>80</v>
      </c>
      <c r="G53" s="3" t="s">
        <v>30</v>
      </c>
      <c r="H53" s="0" t="n">
        <v>208</v>
      </c>
      <c r="I53" s="0" t="n">
        <v>2690.63</v>
      </c>
      <c r="J53" s="0" t="n">
        <v>2690.83</v>
      </c>
      <c r="K53" s="2" t="n">
        <v>46075</v>
      </c>
      <c r="L53" s="3" t="s">
        <v>353</v>
      </c>
      <c r="M53" s="2" t="n">
        <v>46076</v>
      </c>
      <c r="N53" s="3" t="s">
        <v>354</v>
      </c>
      <c r="O53" s="2" t="n">
        <v>46075</v>
      </c>
      <c r="P53" s="3" t="s">
        <v>355</v>
      </c>
      <c r="Q53" s="2" t="n">
        <v>46078</v>
      </c>
      <c r="R53" s="3" t="s">
        <v>34</v>
      </c>
      <c r="S53" s="3" t="s">
        <v>52</v>
      </c>
      <c r="T53" s="3" t="s">
        <v>36</v>
      </c>
      <c r="U53" s="3" t="s">
        <v>36</v>
      </c>
      <c r="V53" s="0" t="n">
        <v>1.5</v>
      </c>
      <c r="W53" s="0" t="n">
        <v>1</v>
      </c>
      <c r="X53" s="0" t="n">
        <v>2.9</v>
      </c>
      <c r="Y53" s="4" t="n">
        <f aca="false">J53*X53*W53</f>
        <v>7803.407</v>
      </c>
      <c r="Z53" s="4" t="n">
        <f aca="false">Y53*1.18</f>
        <v>9208.02026</v>
      </c>
    </row>
    <row r="54" customFormat="false" ht="15" hidden="false" customHeight="false" outlineLevel="0" collapsed="false">
      <c r="A54" s="0" t="n">
        <v>53</v>
      </c>
      <c r="B54" s="0" t="s">
        <v>26</v>
      </c>
      <c r="C54" s="2" t="n">
        <v>46078</v>
      </c>
      <c r="D54" s="3" t="s">
        <v>356</v>
      </c>
      <c r="E54" s="3" t="s">
        <v>357</v>
      </c>
      <c r="F54" s="3" t="s">
        <v>95</v>
      </c>
      <c r="G54" s="3" t="s">
        <v>30</v>
      </c>
      <c r="H54" s="0" t="n">
        <v>161</v>
      </c>
      <c r="I54" s="0" t="n">
        <v>2076.59</v>
      </c>
      <c r="J54" s="0" t="n">
        <v>2699.87</v>
      </c>
      <c r="K54" s="2" t="n">
        <v>46076</v>
      </c>
      <c r="L54" s="3" t="s">
        <v>358</v>
      </c>
      <c r="M54" s="2" t="n">
        <v>46076</v>
      </c>
      <c r="N54" s="3" t="s">
        <v>359</v>
      </c>
      <c r="O54" s="2" t="n">
        <v>46076</v>
      </c>
      <c r="P54" s="3" t="s">
        <v>360</v>
      </c>
      <c r="Q54" s="2" t="n">
        <v>46078</v>
      </c>
      <c r="R54" s="3" t="s">
        <v>361</v>
      </c>
      <c r="S54" s="3" t="s">
        <v>281</v>
      </c>
      <c r="T54" s="3" t="s">
        <v>36</v>
      </c>
      <c r="U54" s="3" t="s">
        <v>36</v>
      </c>
      <c r="V54" s="0" t="n">
        <v>1.5</v>
      </c>
      <c r="W54" s="0" t="n">
        <v>1</v>
      </c>
      <c r="X54" s="0" t="n">
        <v>2.9</v>
      </c>
      <c r="Y54" s="4" t="n">
        <f aca="false">J54*X54*W54</f>
        <v>7829.623</v>
      </c>
      <c r="Z54" s="4" t="n">
        <f aca="false">Y54*1.18</f>
        <v>9238.95514</v>
      </c>
    </row>
    <row r="55" customFormat="false" ht="15" hidden="false" customHeight="false" outlineLevel="0" collapsed="false">
      <c r="A55" s="0" t="n">
        <v>54</v>
      </c>
      <c r="B55" s="0" t="s">
        <v>53</v>
      </c>
      <c r="C55" s="2" t="n">
        <v>46078</v>
      </c>
      <c r="D55" s="3" t="s">
        <v>362</v>
      </c>
      <c r="E55" s="3" t="s">
        <v>363</v>
      </c>
      <c r="F55" s="3" t="s">
        <v>39</v>
      </c>
      <c r="G55" s="3" t="s">
        <v>30</v>
      </c>
      <c r="H55" s="0" t="n">
        <v>169</v>
      </c>
      <c r="I55" s="0" t="n">
        <v>1603.62</v>
      </c>
      <c r="J55" s="0" t="n">
        <v>1604.04</v>
      </c>
      <c r="K55" s="2" t="n">
        <v>46076</v>
      </c>
      <c r="L55" s="3" t="s">
        <v>364</v>
      </c>
      <c r="M55" s="2" t="n">
        <v>46077</v>
      </c>
      <c r="N55" s="3" t="s">
        <v>365</v>
      </c>
      <c r="O55" s="2" t="n">
        <v>46077</v>
      </c>
      <c r="P55" s="3" t="s">
        <v>366</v>
      </c>
      <c r="Q55" s="2" t="n">
        <v>46078</v>
      </c>
      <c r="R55" s="3" t="s">
        <v>367</v>
      </c>
      <c r="S55" s="3" t="s">
        <v>281</v>
      </c>
      <c r="T55" s="3" t="s">
        <v>36</v>
      </c>
      <c r="U55" s="3" t="s">
        <v>36</v>
      </c>
      <c r="V55" s="0" t="n">
        <v>1.5</v>
      </c>
      <c r="W55" s="0" t="n">
        <v>1</v>
      </c>
      <c r="X55" s="0" t="n">
        <v>2.9</v>
      </c>
      <c r="Y55" s="4" t="n">
        <f aca="false">J55*X55*W55</f>
        <v>4651.716</v>
      </c>
      <c r="Z55" s="4" t="n">
        <f aca="false">Y55*1.18</f>
        <v>5489.02488</v>
      </c>
    </row>
    <row r="56" customFormat="false" ht="15" hidden="false" customHeight="false" outlineLevel="0" collapsed="false">
      <c r="A56" s="0" t="n">
        <v>55</v>
      </c>
      <c r="B56" s="0" t="s">
        <v>26</v>
      </c>
      <c r="C56" s="2" t="n">
        <v>46079</v>
      </c>
      <c r="D56" s="3" t="s">
        <v>368</v>
      </c>
      <c r="E56" s="3" t="s">
        <v>369</v>
      </c>
      <c r="F56" s="3" t="s">
        <v>80</v>
      </c>
      <c r="G56" s="3" t="s">
        <v>30</v>
      </c>
      <c r="H56" s="0" t="n">
        <v>121</v>
      </c>
      <c r="I56" s="0" t="n">
        <v>1409.48</v>
      </c>
      <c r="J56" s="0" t="n">
        <v>1550.75</v>
      </c>
      <c r="K56" s="2" t="n">
        <v>46077</v>
      </c>
      <c r="L56" s="3" t="s">
        <v>370</v>
      </c>
      <c r="M56" s="2" t="n">
        <v>46077</v>
      </c>
      <c r="N56" s="3" t="s">
        <v>371</v>
      </c>
      <c r="O56" s="2" t="n">
        <v>46078</v>
      </c>
      <c r="P56" s="3" t="s">
        <v>372</v>
      </c>
      <c r="Q56" s="2" t="n">
        <v>46079</v>
      </c>
      <c r="R56" s="3" t="s">
        <v>373</v>
      </c>
      <c r="S56" s="3" t="s">
        <v>212</v>
      </c>
      <c r="T56" s="3" t="s">
        <v>139</v>
      </c>
      <c r="U56" s="3" t="s">
        <v>139</v>
      </c>
      <c r="V56" s="0" t="n">
        <v>1.5</v>
      </c>
      <c r="W56" s="0" t="n">
        <v>2</v>
      </c>
      <c r="X56" s="0" t="n">
        <v>2.4</v>
      </c>
      <c r="Y56" s="4" t="n">
        <f aca="false">J56*X56*W56</f>
        <v>7443.6</v>
      </c>
      <c r="Z56" s="4" t="n">
        <f aca="false">Y56*1.18</f>
        <v>8783.448</v>
      </c>
    </row>
    <row r="57" customFormat="false" ht="15" hidden="false" customHeight="false" outlineLevel="0" collapsed="false">
      <c r="A57" s="0" t="n">
        <v>56</v>
      </c>
      <c r="B57" s="0" t="s">
        <v>53</v>
      </c>
      <c r="C57" s="2" t="n">
        <v>46079</v>
      </c>
      <c r="D57" s="3" t="s">
        <v>374</v>
      </c>
      <c r="E57" s="3" t="s">
        <v>375</v>
      </c>
      <c r="F57" s="3" t="s">
        <v>70</v>
      </c>
      <c r="G57" s="3" t="s">
        <v>30</v>
      </c>
      <c r="H57" s="0" t="n">
        <v>17</v>
      </c>
      <c r="I57" s="0" t="n">
        <v>868.08</v>
      </c>
      <c r="J57" s="0" t="n">
        <v>868.12</v>
      </c>
      <c r="K57" s="2" t="n">
        <v>46076</v>
      </c>
      <c r="L57" s="3" t="s">
        <v>376</v>
      </c>
      <c r="M57" s="2" t="n">
        <v>46076</v>
      </c>
      <c r="N57" s="3" t="s">
        <v>377</v>
      </c>
      <c r="O57" s="2" t="n">
        <v>46077</v>
      </c>
      <c r="P57" s="3" t="s">
        <v>378</v>
      </c>
      <c r="Q57" s="2" t="n">
        <v>46079</v>
      </c>
      <c r="R57" s="3" t="s">
        <v>379</v>
      </c>
      <c r="S57" s="3" t="s">
        <v>67</v>
      </c>
      <c r="T57" s="3" t="s">
        <v>45</v>
      </c>
      <c r="U57" s="3" t="s">
        <v>45</v>
      </c>
      <c r="V57" s="0" t="n">
        <v>1.5</v>
      </c>
      <c r="W57" s="0" t="n">
        <v>3</v>
      </c>
      <c r="X57" s="0" t="n">
        <v>2.9</v>
      </c>
      <c r="Y57" s="4" t="n">
        <f aca="false">J57*X57*W57</f>
        <v>7552.644</v>
      </c>
      <c r="Z57" s="4" t="n">
        <f aca="false">Y57*1.18</f>
        <v>8912.11992</v>
      </c>
    </row>
    <row r="58" customFormat="false" ht="15" hidden="false" customHeight="false" outlineLevel="0" collapsed="false">
      <c r="A58" s="0" t="n">
        <v>57</v>
      </c>
      <c r="B58" s="0" t="s">
        <v>77</v>
      </c>
      <c r="C58" s="2" t="n">
        <v>46079</v>
      </c>
      <c r="D58" s="3" t="s">
        <v>380</v>
      </c>
      <c r="E58" s="3" t="s">
        <v>381</v>
      </c>
      <c r="F58" s="3" t="s">
        <v>70</v>
      </c>
      <c r="G58" s="3" t="s">
        <v>30</v>
      </c>
      <c r="H58" s="0" t="n">
        <v>62</v>
      </c>
      <c r="I58" s="0" t="n">
        <v>404.23</v>
      </c>
      <c r="J58" s="0" t="n">
        <v>444.87</v>
      </c>
      <c r="K58" s="2" t="n">
        <v>46078</v>
      </c>
      <c r="L58" s="3" t="s">
        <v>382</v>
      </c>
      <c r="M58" s="2" t="n">
        <v>46078</v>
      </c>
      <c r="N58" s="3" t="s">
        <v>383</v>
      </c>
      <c r="O58" s="2" t="n">
        <v>46079</v>
      </c>
      <c r="P58" s="3" t="s">
        <v>384</v>
      </c>
      <c r="Q58" s="2" t="n">
        <v>46079</v>
      </c>
      <c r="R58" s="3" t="s">
        <v>296</v>
      </c>
      <c r="S58" s="3" t="s">
        <v>92</v>
      </c>
      <c r="T58" s="3" t="s">
        <v>36</v>
      </c>
      <c r="U58" s="3" t="s">
        <v>36</v>
      </c>
      <c r="V58" s="0" t="n">
        <v>1.5</v>
      </c>
      <c r="W58" s="0" t="n">
        <v>1</v>
      </c>
      <c r="X58" s="0" t="n">
        <v>2.9</v>
      </c>
      <c r="Y58" s="4" t="n">
        <f aca="false">J58*X58*W58</f>
        <v>1290.123</v>
      </c>
      <c r="Z58" s="4" t="n">
        <f aca="false">Y58*1.18</f>
        <v>1522.34514</v>
      </c>
    </row>
    <row r="59" customFormat="false" ht="15" hidden="false" customHeight="false" outlineLevel="0" collapsed="false">
      <c r="A59" s="0" t="n">
        <v>58</v>
      </c>
      <c r="B59" s="0" t="s">
        <v>77</v>
      </c>
      <c r="C59" s="2" t="n">
        <v>46079</v>
      </c>
      <c r="D59" s="3" t="s">
        <v>385</v>
      </c>
      <c r="E59" s="3" t="s">
        <v>386</v>
      </c>
      <c r="F59" s="3" t="s">
        <v>70</v>
      </c>
      <c r="G59" s="3" t="s">
        <v>30</v>
      </c>
      <c r="H59" s="0" t="n">
        <v>101</v>
      </c>
      <c r="I59" s="0" t="n">
        <v>1869.85</v>
      </c>
      <c r="J59" s="0" t="n">
        <v>1869.96</v>
      </c>
      <c r="K59" s="2" t="n">
        <v>46077</v>
      </c>
      <c r="L59" s="3" t="s">
        <v>387</v>
      </c>
      <c r="M59" s="2" t="n">
        <v>46077</v>
      </c>
      <c r="N59" s="3" t="s">
        <v>388</v>
      </c>
      <c r="O59" s="2" t="n">
        <v>46077</v>
      </c>
      <c r="P59" s="3" t="s">
        <v>389</v>
      </c>
      <c r="Q59" s="2" t="n">
        <v>46079</v>
      </c>
      <c r="R59" s="3" t="s">
        <v>390</v>
      </c>
      <c r="S59" s="3" t="s">
        <v>35</v>
      </c>
      <c r="T59" s="3" t="s">
        <v>139</v>
      </c>
      <c r="U59" s="3" t="s">
        <v>139</v>
      </c>
      <c r="V59" s="0" t="n">
        <v>1.5</v>
      </c>
      <c r="W59" s="0" t="n">
        <v>3</v>
      </c>
      <c r="X59" s="0" t="n">
        <v>2.4</v>
      </c>
      <c r="Y59" s="4" t="n">
        <f aca="false">J59*X59*W59</f>
        <v>13463.712</v>
      </c>
      <c r="Z59" s="4" t="n">
        <f aca="false">Y59*1.18</f>
        <v>15887.18016</v>
      </c>
    </row>
    <row r="60" customFormat="false" ht="15" hidden="false" customHeight="false" outlineLevel="0" collapsed="false">
      <c r="A60" s="0" t="n">
        <v>59</v>
      </c>
      <c r="B60" s="0" t="s">
        <v>77</v>
      </c>
      <c r="C60" s="2" t="n">
        <v>46079</v>
      </c>
      <c r="D60" s="3" t="s">
        <v>391</v>
      </c>
      <c r="E60" s="3" t="s">
        <v>392</v>
      </c>
      <c r="F60" s="3" t="s">
        <v>134</v>
      </c>
      <c r="G60" s="3" t="s">
        <v>30</v>
      </c>
      <c r="H60" s="0" t="n">
        <v>175</v>
      </c>
      <c r="I60" s="0" t="n">
        <v>1860.95</v>
      </c>
      <c r="J60" s="0" t="n">
        <v>1861.33</v>
      </c>
      <c r="K60" s="2" t="n">
        <v>46077</v>
      </c>
      <c r="L60" s="3" t="s">
        <v>393</v>
      </c>
      <c r="M60" s="2" t="n">
        <v>46077</v>
      </c>
      <c r="N60" s="3" t="s">
        <v>176</v>
      </c>
      <c r="O60" s="2" t="n">
        <v>46077</v>
      </c>
      <c r="P60" s="3" t="s">
        <v>394</v>
      </c>
      <c r="Q60" s="2" t="n">
        <v>46079</v>
      </c>
      <c r="R60" s="3" t="s">
        <v>395</v>
      </c>
      <c r="S60" s="3" t="s">
        <v>281</v>
      </c>
      <c r="T60" s="3" t="s">
        <v>36</v>
      </c>
      <c r="U60" s="3" t="s">
        <v>36</v>
      </c>
      <c r="V60" s="0" t="n">
        <v>1.5</v>
      </c>
      <c r="W60" s="0" t="n">
        <v>3</v>
      </c>
      <c r="X60" s="0" t="n">
        <v>2.9</v>
      </c>
      <c r="Y60" s="4" t="n">
        <f aca="false">J60*X60*W60</f>
        <v>16193.571</v>
      </c>
      <c r="Z60" s="4" t="n">
        <f aca="false">Y60*1.18</f>
        <v>19108.41378</v>
      </c>
    </row>
    <row r="61" customFormat="false" ht="15" hidden="false" customHeight="false" outlineLevel="0" collapsed="false">
      <c r="A61" s="0" t="n">
        <v>60</v>
      </c>
      <c r="B61" s="0" t="s">
        <v>26</v>
      </c>
      <c r="C61" s="2" t="n">
        <v>46080</v>
      </c>
      <c r="D61" s="3" t="s">
        <v>396</v>
      </c>
      <c r="E61" s="3" t="s">
        <v>397</v>
      </c>
      <c r="F61" s="3" t="s">
        <v>95</v>
      </c>
      <c r="G61" s="3" t="s">
        <v>30</v>
      </c>
      <c r="H61" s="0" t="n">
        <v>86</v>
      </c>
      <c r="I61" s="0" t="n">
        <v>91.13</v>
      </c>
      <c r="J61" s="0" t="n">
        <v>136.87</v>
      </c>
      <c r="K61" s="2" t="n">
        <v>46077</v>
      </c>
      <c r="L61" s="3" t="s">
        <v>398</v>
      </c>
      <c r="M61" s="2" t="n">
        <v>46077</v>
      </c>
      <c r="N61" s="3" t="s">
        <v>84</v>
      </c>
      <c r="O61" s="2" t="n">
        <v>46077</v>
      </c>
      <c r="P61" s="3" t="s">
        <v>399</v>
      </c>
      <c r="Q61" s="2" t="n">
        <v>46080</v>
      </c>
      <c r="R61" s="3" t="s">
        <v>400</v>
      </c>
      <c r="S61" s="3" t="s">
        <v>75</v>
      </c>
      <c r="T61" s="3" t="s">
        <v>36</v>
      </c>
      <c r="U61" s="3" t="s">
        <v>36</v>
      </c>
      <c r="V61" s="0" t="n">
        <v>1.5</v>
      </c>
      <c r="W61" s="0" t="n">
        <v>2</v>
      </c>
      <c r="X61" s="0" t="n">
        <v>2.9</v>
      </c>
      <c r="Y61" s="4" t="n">
        <f aca="false">J61*X61*W61</f>
        <v>793.846</v>
      </c>
      <c r="Z61" s="4" t="n">
        <f aca="false">Y61*1.18</f>
        <v>936.73828</v>
      </c>
    </row>
    <row r="62" customFormat="false" ht="15" hidden="false" customHeight="false" outlineLevel="0" collapsed="false">
      <c r="A62" s="0" t="n">
        <v>61</v>
      </c>
      <c r="B62" s="0" t="s">
        <v>26</v>
      </c>
      <c r="C62" s="2" t="n">
        <v>46080</v>
      </c>
      <c r="D62" s="3" t="s">
        <v>401</v>
      </c>
      <c r="E62" s="3" t="s">
        <v>402</v>
      </c>
      <c r="F62" s="3" t="s">
        <v>29</v>
      </c>
      <c r="G62" s="3" t="s">
        <v>30</v>
      </c>
      <c r="H62" s="0" t="n">
        <v>52</v>
      </c>
      <c r="I62" s="0" t="n">
        <v>1396.27</v>
      </c>
      <c r="J62" s="0" t="n">
        <v>1396.67</v>
      </c>
      <c r="K62" s="2" t="n">
        <v>46079</v>
      </c>
      <c r="L62" s="3" t="s">
        <v>403</v>
      </c>
      <c r="M62" s="2" t="n">
        <v>46079</v>
      </c>
      <c r="N62" s="3" t="s">
        <v>404</v>
      </c>
      <c r="O62" s="2" t="n">
        <v>46080</v>
      </c>
      <c r="P62" s="3" t="s">
        <v>405</v>
      </c>
      <c r="Q62" s="2" t="n">
        <v>46080</v>
      </c>
      <c r="R62" s="3" t="s">
        <v>406</v>
      </c>
      <c r="S62" s="3" t="s">
        <v>67</v>
      </c>
      <c r="T62" s="3" t="s">
        <v>36</v>
      </c>
      <c r="U62" s="3" t="s">
        <v>36</v>
      </c>
      <c r="V62" s="0" t="n">
        <v>1.5</v>
      </c>
      <c r="W62" s="0" t="n">
        <v>1</v>
      </c>
      <c r="X62" s="0" t="n">
        <v>2.9</v>
      </c>
      <c r="Y62" s="4" t="n">
        <f aca="false">J62*X62*W62</f>
        <v>4050.343</v>
      </c>
      <c r="Z62" s="4" t="n">
        <f aca="false">Y62*1.18</f>
        <v>4779.40474</v>
      </c>
    </row>
    <row r="63" customFormat="false" ht="15" hidden="false" customHeight="false" outlineLevel="0" collapsed="false">
      <c r="A63" s="0" t="n">
        <v>62</v>
      </c>
      <c r="B63" s="0" t="s">
        <v>53</v>
      </c>
      <c r="C63" s="2" t="n">
        <v>46080</v>
      </c>
      <c r="D63" s="3" t="s">
        <v>407</v>
      </c>
      <c r="E63" s="3" t="s">
        <v>408</v>
      </c>
      <c r="F63" s="3" t="s">
        <v>95</v>
      </c>
      <c r="G63" s="3" t="s">
        <v>30</v>
      </c>
      <c r="H63" s="0" t="n">
        <v>121</v>
      </c>
      <c r="I63" s="0" t="n">
        <v>469.55</v>
      </c>
      <c r="J63" s="0" t="n">
        <v>610.82</v>
      </c>
      <c r="K63" s="2" t="n">
        <v>46078</v>
      </c>
      <c r="L63" s="3" t="s">
        <v>409</v>
      </c>
      <c r="M63" s="2" t="n">
        <v>46079</v>
      </c>
      <c r="N63" s="3" t="s">
        <v>32</v>
      </c>
      <c r="O63" s="2" t="n">
        <v>46079</v>
      </c>
      <c r="P63" s="3" t="s">
        <v>410</v>
      </c>
      <c r="Q63" s="2" t="n">
        <v>46080</v>
      </c>
      <c r="R63" s="3" t="s">
        <v>411</v>
      </c>
      <c r="S63" s="3" t="s">
        <v>205</v>
      </c>
      <c r="T63" s="3" t="s">
        <v>36</v>
      </c>
      <c r="U63" s="3" t="s">
        <v>36</v>
      </c>
      <c r="V63" s="0" t="n">
        <v>1.5</v>
      </c>
      <c r="W63" s="0" t="n">
        <v>2</v>
      </c>
      <c r="X63" s="0" t="n">
        <v>2.9</v>
      </c>
      <c r="Y63" s="4" t="n">
        <f aca="false">J63*X63*W63</f>
        <v>3542.756</v>
      </c>
      <c r="Z63" s="4" t="n">
        <f aca="false">Y63*1.18</f>
        <v>4180.45208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2" t="n">
        <v>46080</v>
      </c>
      <c r="D64" s="3" t="s">
        <v>412</v>
      </c>
      <c r="E64" s="3" t="s">
        <v>413</v>
      </c>
      <c r="F64" s="3" t="s">
        <v>95</v>
      </c>
      <c r="G64" s="3" t="s">
        <v>30</v>
      </c>
      <c r="H64" s="0" t="n">
        <v>185</v>
      </c>
      <c r="I64" s="0" t="n">
        <v>2382.44</v>
      </c>
      <c r="J64" s="0" t="n">
        <v>2382.48</v>
      </c>
      <c r="K64" s="2" t="n">
        <v>46078</v>
      </c>
      <c r="L64" s="3" t="s">
        <v>414</v>
      </c>
      <c r="M64" s="2" t="n">
        <v>46078</v>
      </c>
      <c r="N64" s="3" t="s">
        <v>415</v>
      </c>
      <c r="O64" s="2" t="n">
        <v>46078</v>
      </c>
      <c r="P64" s="3" t="s">
        <v>416</v>
      </c>
      <c r="Q64" s="2" t="n">
        <v>46080</v>
      </c>
      <c r="R64" s="3" t="s">
        <v>417</v>
      </c>
      <c r="S64" s="3" t="s">
        <v>67</v>
      </c>
      <c r="T64" s="3" t="s">
        <v>36</v>
      </c>
      <c r="U64" s="3" t="s">
        <v>36</v>
      </c>
      <c r="V64" s="0" t="n">
        <v>1.5</v>
      </c>
      <c r="W64" s="0" t="n">
        <v>3</v>
      </c>
      <c r="X64" s="0" t="n">
        <v>2.9</v>
      </c>
      <c r="Y64" s="4" t="n">
        <f aca="false">J64*X64*W64</f>
        <v>20727.576</v>
      </c>
      <c r="Z64" s="4" t="n">
        <f aca="false">Y64*1.18</f>
        <v>24458.53968</v>
      </c>
    </row>
    <row r="65" customFormat="false" ht="15" hidden="false" customHeight="false" outlineLevel="0" collapsed="false">
      <c r="A65" s="0" t="n">
        <v>64</v>
      </c>
      <c r="B65" s="0" t="s">
        <v>77</v>
      </c>
      <c r="C65" s="2" t="n">
        <v>46080</v>
      </c>
      <c r="D65" s="3" t="s">
        <v>418</v>
      </c>
      <c r="E65" s="3" t="s">
        <v>419</v>
      </c>
      <c r="F65" s="3" t="s">
        <v>70</v>
      </c>
      <c r="G65" s="3" t="s">
        <v>30</v>
      </c>
      <c r="H65" s="0" t="n">
        <v>7</v>
      </c>
      <c r="I65" s="0" t="n">
        <v>1358.31</v>
      </c>
      <c r="J65" s="0" t="n">
        <v>1766</v>
      </c>
      <c r="K65" s="2" t="n">
        <v>46078</v>
      </c>
      <c r="L65" s="3" t="s">
        <v>420</v>
      </c>
      <c r="M65" s="2" t="n">
        <v>46078</v>
      </c>
      <c r="N65" s="3" t="s">
        <v>421</v>
      </c>
      <c r="O65" s="2" t="n">
        <v>46078</v>
      </c>
      <c r="P65" s="3" t="s">
        <v>422</v>
      </c>
      <c r="Q65" s="2" t="n">
        <v>46080</v>
      </c>
      <c r="R65" s="3" t="s">
        <v>423</v>
      </c>
      <c r="S65" s="3" t="s">
        <v>35</v>
      </c>
      <c r="T65" s="3" t="s">
        <v>101</v>
      </c>
      <c r="U65" s="3" t="s">
        <v>101</v>
      </c>
      <c r="V65" s="0" t="n">
        <v>1.5</v>
      </c>
      <c r="W65" s="0" t="n">
        <v>2</v>
      </c>
      <c r="X65" s="0" t="n">
        <v>4.9</v>
      </c>
      <c r="Y65" s="4" t="n">
        <f aca="false">J65*X65*W65</f>
        <v>17306.8</v>
      </c>
      <c r="Z65" s="4" t="n">
        <f aca="false">Y65*1.18</f>
        <v>20422.024</v>
      </c>
    </row>
    <row r="66" customFormat="false" ht="15" hidden="false" customHeight="false" outlineLevel="0" collapsed="false">
      <c r="A66" s="0" t="n">
        <v>65</v>
      </c>
      <c r="B66" s="0" t="s">
        <v>26</v>
      </c>
      <c r="C66" s="2" t="n">
        <v>46081</v>
      </c>
      <c r="D66" s="3" t="s">
        <v>424</v>
      </c>
      <c r="E66" s="3" t="s">
        <v>425</v>
      </c>
      <c r="F66" s="3" t="s">
        <v>39</v>
      </c>
      <c r="G66" s="3" t="s">
        <v>30</v>
      </c>
      <c r="H66" s="0" t="n">
        <v>103</v>
      </c>
      <c r="I66" s="0" t="n">
        <v>1406.09</v>
      </c>
      <c r="J66" s="0" t="n">
        <v>1546.74</v>
      </c>
      <c r="K66" s="2" t="n">
        <v>46080</v>
      </c>
      <c r="L66" s="3" t="s">
        <v>426</v>
      </c>
      <c r="M66" s="2" t="n">
        <v>46081</v>
      </c>
      <c r="N66" s="3" t="s">
        <v>427</v>
      </c>
      <c r="O66" s="2" t="n">
        <v>46080</v>
      </c>
      <c r="P66" s="3" t="s">
        <v>428</v>
      </c>
      <c r="Q66" s="2" t="n">
        <v>46081</v>
      </c>
      <c r="R66" s="3" t="s">
        <v>429</v>
      </c>
      <c r="S66" s="3" t="s">
        <v>199</v>
      </c>
      <c r="T66" s="3" t="s">
        <v>36</v>
      </c>
      <c r="U66" s="3" t="s">
        <v>36</v>
      </c>
      <c r="V66" s="0" t="n">
        <v>1.5</v>
      </c>
      <c r="W66" s="0" t="n">
        <v>-1</v>
      </c>
      <c r="X66" s="0" t="n">
        <v>2.9</v>
      </c>
      <c r="Y66" s="4" t="n">
        <f aca="false">J66*X66*W66</f>
        <v>-4485.546</v>
      </c>
      <c r="Z66" s="4" t="n">
        <f aca="false">Y66*1.18</f>
        <v>-5292.94428</v>
      </c>
    </row>
    <row r="67" customFormat="false" ht="15" hidden="false" customHeight="false" outlineLevel="0" collapsed="false">
      <c r="A67" s="0" t="n">
        <v>66</v>
      </c>
      <c r="B67" s="0" t="s">
        <v>26</v>
      </c>
      <c r="C67" s="2" t="n">
        <v>46081</v>
      </c>
      <c r="D67" s="3" t="s">
        <v>430</v>
      </c>
      <c r="E67" s="3" t="s">
        <v>431</v>
      </c>
      <c r="F67" s="3" t="s">
        <v>39</v>
      </c>
      <c r="G67" s="3" t="s">
        <v>30</v>
      </c>
      <c r="H67" s="0" t="n">
        <v>189</v>
      </c>
      <c r="I67" s="0" t="n">
        <v>2156.96</v>
      </c>
      <c r="J67" s="0" t="n">
        <v>2157.19</v>
      </c>
      <c r="K67" s="2" t="n">
        <v>46079</v>
      </c>
      <c r="L67" s="3" t="s">
        <v>432</v>
      </c>
      <c r="M67" s="2" t="n">
        <v>46079</v>
      </c>
      <c r="N67" s="3" t="s">
        <v>433</v>
      </c>
      <c r="O67" s="2" t="n">
        <v>46079</v>
      </c>
      <c r="P67" s="3" t="s">
        <v>318</v>
      </c>
      <c r="Q67" s="2" t="n">
        <v>46081</v>
      </c>
      <c r="R67" s="3" t="s">
        <v>251</v>
      </c>
      <c r="S67" s="3" t="s">
        <v>100</v>
      </c>
      <c r="T67" s="3" t="s">
        <v>36</v>
      </c>
      <c r="U67" s="3" t="s">
        <v>36</v>
      </c>
      <c r="V67" s="0" t="n">
        <v>1.5</v>
      </c>
      <c r="W67" s="0" t="n">
        <v>2</v>
      </c>
      <c r="X67" s="0" t="n">
        <v>2.9</v>
      </c>
      <c r="Y67" s="4" t="n">
        <f aca="false">J67*X67*W67</f>
        <v>12511.702</v>
      </c>
      <c r="Z67" s="4" t="n">
        <f aca="false">Y67*1.18</f>
        <v>14763.80836</v>
      </c>
    </row>
    <row r="68" customFormat="false" ht="15" hidden="false" customHeight="false" outlineLevel="0" collapsed="false">
      <c r="A68" s="0" t="n">
        <v>67</v>
      </c>
      <c r="B68" s="0" t="s">
        <v>26</v>
      </c>
      <c r="C68" s="2" t="n">
        <v>46081</v>
      </c>
      <c r="D68" s="3" t="s">
        <v>434</v>
      </c>
      <c r="E68" s="3" t="s">
        <v>435</v>
      </c>
      <c r="F68" s="3" t="s">
        <v>87</v>
      </c>
      <c r="G68" s="3" t="s">
        <v>30</v>
      </c>
      <c r="H68" s="0" t="n">
        <v>89</v>
      </c>
      <c r="I68" s="0" t="n">
        <v>2447.97</v>
      </c>
      <c r="J68" s="0" t="n">
        <v>2448.25</v>
      </c>
      <c r="K68" s="2" t="n">
        <v>46078</v>
      </c>
      <c r="L68" s="3" t="s">
        <v>436</v>
      </c>
      <c r="M68" s="2" t="n">
        <v>46078</v>
      </c>
      <c r="N68" s="3" t="s">
        <v>437</v>
      </c>
      <c r="O68" s="2" t="n">
        <v>46078</v>
      </c>
      <c r="P68" s="3" t="s">
        <v>438</v>
      </c>
      <c r="Q68" s="2" t="n">
        <v>46081</v>
      </c>
      <c r="R68" s="3" t="s">
        <v>439</v>
      </c>
      <c r="S68" s="3" t="s">
        <v>205</v>
      </c>
      <c r="T68" s="3" t="s">
        <v>36</v>
      </c>
      <c r="U68" s="3" t="s">
        <v>36</v>
      </c>
      <c r="V68" s="0" t="n">
        <v>1.5</v>
      </c>
      <c r="W68" s="0" t="n">
        <v>-1</v>
      </c>
      <c r="X68" s="0" t="n">
        <v>2.9</v>
      </c>
      <c r="Y68" s="4" t="n">
        <f aca="false">J68*X68*W68</f>
        <v>-7099.925</v>
      </c>
      <c r="Z68" s="4" t="n">
        <f aca="false">Y68*1.18</f>
        <v>-8377.9115</v>
      </c>
    </row>
    <row r="69" customFormat="false" ht="15" hidden="false" customHeight="false" outlineLevel="0" collapsed="false">
      <c r="A69" s="0" t="n">
        <v>68</v>
      </c>
      <c r="B69" s="0" t="s">
        <v>26</v>
      </c>
      <c r="C69" s="2" t="n">
        <v>46081</v>
      </c>
      <c r="D69" s="3" t="s">
        <v>440</v>
      </c>
      <c r="E69" s="3" t="s">
        <v>441</v>
      </c>
      <c r="F69" s="3" t="s">
        <v>87</v>
      </c>
      <c r="G69" s="3" t="s">
        <v>30</v>
      </c>
      <c r="H69" s="0" t="n">
        <v>45</v>
      </c>
      <c r="I69" s="0" t="n">
        <v>734.06</v>
      </c>
      <c r="J69" s="0" t="n">
        <v>1101.17</v>
      </c>
      <c r="K69" s="2" t="n">
        <v>46078</v>
      </c>
      <c r="L69" s="3" t="s">
        <v>130</v>
      </c>
      <c r="M69" s="2" t="n">
        <v>46078</v>
      </c>
      <c r="N69" s="3" t="s">
        <v>186</v>
      </c>
      <c r="O69" s="2" t="n">
        <v>46079</v>
      </c>
      <c r="P69" s="3" t="s">
        <v>442</v>
      </c>
      <c r="Q69" s="2" t="n">
        <v>46081</v>
      </c>
      <c r="R69" s="3" t="s">
        <v>443</v>
      </c>
      <c r="S69" s="3" t="s">
        <v>100</v>
      </c>
      <c r="T69" s="3" t="s">
        <v>36</v>
      </c>
      <c r="U69" s="3" t="s">
        <v>36</v>
      </c>
      <c r="V69" s="0" t="n">
        <v>1.5</v>
      </c>
      <c r="W69" s="0" t="n">
        <v>1</v>
      </c>
      <c r="X69" s="0" t="n">
        <v>2.9</v>
      </c>
      <c r="Y69" s="4" t="n">
        <f aca="false">J69*X69*W69</f>
        <v>3193.393</v>
      </c>
      <c r="Z69" s="4" t="n">
        <f aca="false">Y69*1.18</f>
        <v>3768.20374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2" t="n">
        <v>46081</v>
      </c>
      <c r="D70" s="3" t="s">
        <v>444</v>
      </c>
      <c r="E70" s="3" t="s">
        <v>445</v>
      </c>
      <c r="F70" s="3" t="s">
        <v>29</v>
      </c>
      <c r="G70" s="3" t="s">
        <v>30</v>
      </c>
      <c r="H70" s="0" t="n">
        <v>123</v>
      </c>
      <c r="I70" s="0" t="n">
        <v>2232.39</v>
      </c>
      <c r="J70" s="0" t="n">
        <v>2232.83</v>
      </c>
      <c r="K70" s="2" t="n">
        <v>46078</v>
      </c>
      <c r="L70" s="3" t="s">
        <v>446</v>
      </c>
      <c r="M70" s="2" t="n">
        <v>46079</v>
      </c>
      <c r="N70" s="3" t="s">
        <v>447</v>
      </c>
      <c r="O70" s="2" t="n">
        <v>46078</v>
      </c>
      <c r="P70" s="3" t="s">
        <v>448</v>
      </c>
      <c r="Q70" s="2" t="n">
        <v>46081</v>
      </c>
      <c r="R70" s="3" t="s">
        <v>416</v>
      </c>
      <c r="S70" s="3" t="s">
        <v>52</v>
      </c>
      <c r="T70" s="3" t="s">
        <v>36</v>
      </c>
      <c r="U70" s="3" t="s">
        <v>36</v>
      </c>
      <c r="V70" s="0" t="n">
        <v>1.5</v>
      </c>
      <c r="W70" s="0" t="n">
        <v>-1</v>
      </c>
      <c r="X70" s="0" t="n">
        <v>2.9</v>
      </c>
      <c r="Y70" s="4" t="n">
        <f aca="false">J70*X70*W70</f>
        <v>-6475.207</v>
      </c>
      <c r="Z70" s="4" t="n">
        <f aca="false">Y70*1.18</f>
        <v>-7640.74426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2" t="n">
        <v>46081</v>
      </c>
      <c r="D71" s="3" t="s">
        <v>449</v>
      </c>
      <c r="E71" s="3" t="s">
        <v>450</v>
      </c>
      <c r="F71" s="3" t="s">
        <v>80</v>
      </c>
      <c r="G71" s="3" t="s">
        <v>30</v>
      </c>
      <c r="H71" s="0" t="n">
        <v>143</v>
      </c>
      <c r="I71" s="0" t="n">
        <v>2019.28</v>
      </c>
      <c r="J71" s="0" t="n">
        <v>2625.51</v>
      </c>
      <c r="K71" s="2" t="n">
        <v>46079</v>
      </c>
      <c r="L71" s="3" t="s">
        <v>451</v>
      </c>
      <c r="M71" s="2" t="n">
        <v>46079</v>
      </c>
      <c r="N71" s="3" t="s">
        <v>452</v>
      </c>
      <c r="O71" s="2" t="n">
        <v>46079</v>
      </c>
      <c r="P71" s="3" t="s">
        <v>453</v>
      </c>
      <c r="Q71" s="2" t="n">
        <v>46081</v>
      </c>
      <c r="R71" s="3" t="s">
        <v>454</v>
      </c>
      <c r="S71" s="3" t="s">
        <v>44</v>
      </c>
      <c r="T71" s="3" t="s">
        <v>36</v>
      </c>
      <c r="U71" s="3" t="s">
        <v>36</v>
      </c>
      <c r="V71" s="0" t="n">
        <v>1.5</v>
      </c>
      <c r="W71" s="0" t="n">
        <v>-1</v>
      </c>
      <c r="X71" s="0" t="n">
        <v>2.9</v>
      </c>
      <c r="Y71" s="4" t="n">
        <f aca="false">J71*X71*W71</f>
        <v>-7613.979</v>
      </c>
      <c r="Z71" s="4" t="n">
        <f aca="false">Y71*1.18</f>
        <v>-8984.49522</v>
      </c>
    </row>
    <row r="72" customFormat="false" ht="15" hidden="false" customHeight="false" outlineLevel="0" collapsed="false">
      <c r="A72" s="0" t="n">
        <v>71</v>
      </c>
      <c r="B72" s="0" t="s">
        <v>77</v>
      </c>
      <c r="C72" s="2" t="n">
        <v>46081</v>
      </c>
      <c r="D72" s="3" t="s">
        <v>455</v>
      </c>
      <c r="E72" s="3" t="s">
        <v>456</v>
      </c>
      <c r="F72" s="3" t="s">
        <v>29</v>
      </c>
      <c r="G72" s="3" t="s">
        <v>30</v>
      </c>
      <c r="H72" s="0" t="n">
        <v>26</v>
      </c>
      <c r="I72" s="0" t="n">
        <v>1250.78</v>
      </c>
      <c r="J72" s="0" t="n">
        <v>1251.08</v>
      </c>
      <c r="K72" s="2" t="n">
        <v>46079</v>
      </c>
      <c r="L72" s="3" t="s">
        <v>457</v>
      </c>
      <c r="M72" s="2" t="n">
        <v>46079</v>
      </c>
      <c r="N72" s="3" t="s">
        <v>458</v>
      </c>
      <c r="O72" s="2" t="n">
        <v>46079</v>
      </c>
      <c r="P72" s="3" t="s">
        <v>459</v>
      </c>
      <c r="Q72" s="2" t="n">
        <v>46081</v>
      </c>
      <c r="R72" s="3" t="s">
        <v>460</v>
      </c>
      <c r="S72" s="3" t="s">
        <v>212</v>
      </c>
      <c r="T72" s="3" t="s">
        <v>36</v>
      </c>
      <c r="U72" s="3" t="s">
        <v>36</v>
      </c>
      <c r="V72" s="0" t="n">
        <v>1.5</v>
      </c>
      <c r="W72" s="0" t="n">
        <v>1</v>
      </c>
      <c r="X72" s="0" t="n">
        <v>2.9</v>
      </c>
      <c r="Y72" s="4" t="n">
        <f aca="false">J72*X72*W72</f>
        <v>3628.132</v>
      </c>
      <c r="Z72" s="4" t="n">
        <f aca="false">Y72*1.18</f>
        <v>4281.19576</v>
      </c>
    </row>
    <row r="73" customFormat="false" ht="15" hidden="false" customHeight="false" outlineLevel="0" collapsed="false">
      <c r="A73" s="0" t="n">
        <v>72</v>
      </c>
      <c r="B73" s="0" t="s">
        <v>77</v>
      </c>
      <c r="C73" s="2" t="n">
        <v>46081</v>
      </c>
      <c r="D73" s="3" t="s">
        <v>461</v>
      </c>
      <c r="E73" s="3" t="s">
        <v>462</v>
      </c>
      <c r="F73" s="3" t="s">
        <v>95</v>
      </c>
      <c r="G73" s="3" t="s">
        <v>30</v>
      </c>
      <c r="H73" s="0" t="n">
        <v>196</v>
      </c>
      <c r="I73" s="0" t="n">
        <v>1456.88</v>
      </c>
      <c r="J73" s="0" t="n">
        <v>1456.97</v>
      </c>
      <c r="K73" s="2" t="n">
        <v>46080</v>
      </c>
      <c r="L73" s="3" t="s">
        <v>463</v>
      </c>
      <c r="M73" s="2" t="n">
        <v>46080</v>
      </c>
      <c r="N73" s="3" t="s">
        <v>464</v>
      </c>
      <c r="O73" s="2" t="n">
        <v>46081</v>
      </c>
      <c r="P73" s="3" t="s">
        <v>465</v>
      </c>
      <c r="Q73" s="2" t="n">
        <v>46081</v>
      </c>
      <c r="R73" s="3" t="s">
        <v>466</v>
      </c>
      <c r="S73" s="3" t="s">
        <v>52</v>
      </c>
      <c r="T73" s="3" t="s">
        <v>36</v>
      </c>
      <c r="U73" s="3" t="s">
        <v>36</v>
      </c>
      <c r="V73" s="0" t="n">
        <v>1.5</v>
      </c>
      <c r="W73" s="0" t="n">
        <v>4</v>
      </c>
      <c r="X73" s="0" t="n">
        <v>2.9</v>
      </c>
      <c r="Y73" s="4" t="n">
        <f aca="false">J73*X73*W73</f>
        <v>16900.852</v>
      </c>
      <c r="Z73" s="4" t="n">
        <f aca="false">Y73*1.18</f>
        <v>19943.00536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467</v>
      </c>
    </row>
    <row r="2" customFormat="false" ht="15" hidden="false" customHeight="false" outlineLevel="0" collapsed="false">
      <c r="H2" s="0" t="s">
        <v>468</v>
      </c>
    </row>
    <row r="3" customFormat="false" ht="23.85" hidden="false" customHeight="false" outlineLevel="0" collapsed="false">
      <c r="A3" s="1" t="s">
        <v>469</v>
      </c>
      <c r="B3" s="1" t="s">
        <v>470</v>
      </c>
      <c r="C3" s="1" t="s">
        <v>471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476</v>
      </c>
    </row>
    <row r="4" customFormat="false" ht="15" hidden="false" customHeight="false" outlineLevel="0" collapsed="false">
      <c r="A4" s="0" t="n">
        <v>1</v>
      </c>
      <c r="B4" s="6" t="n">
        <v>46069</v>
      </c>
      <c r="C4" s="3" t="s">
        <v>26</v>
      </c>
      <c r="D4" s="3" t="s">
        <v>477</v>
      </c>
      <c r="E4" s="0" t="n">
        <v>339</v>
      </c>
      <c r="F4" s="0" t="n">
        <v>4872.2</v>
      </c>
      <c r="G4" s="0" t="n">
        <v>4873</v>
      </c>
      <c r="H4" s="4" t="n">
        <f aca="false">G4*3.3*1.18</f>
        <v>18975.462</v>
      </c>
    </row>
    <row r="5" customFormat="false" ht="15" hidden="false" customHeight="false" outlineLevel="0" collapsed="false">
      <c r="A5" s="0" t="n">
        <v>2</v>
      </c>
      <c r="B5" s="6" t="n">
        <v>46069</v>
      </c>
      <c r="C5" s="3" t="s">
        <v>26</v>
      </c>
      <c r="D5" s="3" t="s">
        <v>478</v>
      </c>
      <c r="E5" s="0" t="n">
        <v>339</v>
      </c>
      <c r="F5" s="0" t="n">
        <v>4872.2</v>
      </c>
      <c r="G5" s="0" t="n">
        <v>4873</v>
      </c>
      <c r="H5" s="4" t="n">
        <f aca="false">G5*1.2*1.18</f>
        <v>6900.168</v>
      </c>
    </row>
    <row r="6" customFormat="false" ht="15" hidden="false" customHeight="false" outlineLevel="0" collapsed="false">
      <c r="A6" s="0" t="n">
        <v>3</v>
      </c>
      <c r="B6" s="6" t="n">
        <v>46069</v>
      </c>
      <c r="C6" s="3" t="s">
        <v>26</v>
      </c>
      <c r="D6" s="3" t="s">
        <v>479</v>
      </c>
      <c r="E6" s="0" t="n">
        <v>339</v>
      </c>
      <c r="F6" s="0" t="n">
        <v>4872.2</v>
      </c>
      <c r="G6" s="0" t="n">
        <v>4873</v>
      </c>
      <c r="H6" s="4" t="n">
        <f aca="false">G6*2.9*1.18</f>
        <v>16675.406</v>
      </c>
    </row>
    <row r="7" customFormat="false" ht="15" hidden="false" customHeight="false" outlineLevel="0" collapsed="false">
      <c r="A7" s="0" t="n">
        <v>4</v>
      </c>
      <c r="B7" s="6" t="n">
        <v>46069</v>
      </c>
      <c r="C7" s="3" t="s">
        <v>53</v>
      </c>
      <c r="D7" s="3" t="s">
        <v>477</v>
      </c>
      <c r="E7" s="0" t="n">
        <v>312</v>
      </c>
      <c r="F7" s="0" t="n">
        <v>6216.3</v>
      </c>
      <c r="G7" s="0" t="n">
        <v>7767.6</v>
      </c>
      <c r="H7" s="4" t="n">
        <f aca="false">G7*3.3*1.18</f>
        <v>30247.0344</v>
      </c>
    </row>
    <row r="8" customFormat="false" ht="15" hidden="false" customHeight="false" outlineLevel="0" collapsed="false">
      <c r="A8" s="0" t="n">
        <v>5</v>
      </c>
      <c r="B8" s="6" t="n">
        <v>46069</v>
      </c>
      <c r="C8" s="3" t="s">
        <v>53</v>
      </c>
      <c r="D8" s="3" t="s">
        <v>478</v>
      </c>
      <c r="E8" s="0" t="n">
        <v>312</v>
      </c>
      <c r="F8" s="0" t="n">
        <v>6216.3</v>
      </c>
      <c r="G8" s="0" t="n">
        <v>7767.6</v>
      </c>
      <c r="H8" s="4" t="n">
        <f aca="false">G8*1.2*1.18</f>
        <v>10998.9216</v>
      </c>
    </row>
    <row r="9" customFormat="false" ht="15" hidden="false" customHeight="false" outlineLevel="0" collapsed="false">
      <c r="A9" s="0" t="n">
        <v>6</v>
      </c>
      <c r="B9" s="6" t="n">
        <v>46069</v>
      </c>
      <c r="C9" s="3" t="s">
        <v>53</v>
      </c>
      <c r="D9" s="3" t="s">
        <v>479</v>
      </c>
      <c r="E9" s="0" t="n">
        <v>312</v>
      </c>
      <c r="F9" s="0" t="n">
        <v>6216.3</v>
      </c>
      <c r="G9" s="0" t="n">
        <v>7767.6</v>
      </c>
      <c r="H9" s="4" t="n">
        <f aca="false">G9*2.9*1.18</f>
        <v>26580.7272</v>
      </c>
    </row>
    <row r="10" customFormat="false" ht="15" hidden="false" customHeight="false" outlineLevel="0" collapsed="false">
      <c r="A10" s="0" t="n">
        <v>7</v>
      </c>
      <c r="B10" s="6" t="n">
        <v>46069</v>
      </c>
      <c r="C10" s="3" t="s">
        <v>77</v>
      </c>
      <c r="D10" s="3" t="s">
        <v>477</v>
      </c>
      <c r="E10" s="0" t="n">
        <v>48</v>
      </c>
      <c r="F10" s="0" t="n">
        <v>351.3</v>
      </c>
      <c r="G10" s="0" t="n">
        <v>386.8</v>
      </c>
      <c r="H10" s="4" t="n">
        <f aca="false">G10*3.3*1.18</f>
        <v>1506.1992</v>
      </c>
    </row>
    <row r="11" customFormat="false" ht="15" hidden="false" customHeight="false" outlineLevel="0" collapsed="false">
      <c r="A11" s="0" t="n">
        <v>8</v>
      </c>
      <c r="B11" s="6" t="n">
        <v>46069</v>
      </c>
      <c r="C11" s="3" t="s">
        <v>77</v>
      </c>
      <c r="D11" s="3" t="s">
        <v>478</v>
      </c>
      <c r="E11" s="0" t="n">
        <v>48</v>
      </c>
      <c r="F11" s="0" t="n">
        <v>351.3</v>
      </c>
      <c r="G11" s="0" t="n">
        <v>386.8</v>
      </c>
      <c r="H11" s="4" t="n">
        <f aca="false">G11*1.2*1.18</f>
        <v>547.7088</v>
      </c>
    </row>
    <row r="12" customFormat="false" ht="15" hidden="false" customHeight="false" outlineLevel="0" collapsed="false">
      <c r="A12" s="0" t="n">
        <v>9</v>
      </c>
      <c r="B12" s="6" t="n">
        <v>46069</v>
      </c>
      <c r="C12" s="3" t="s">
        <v>77</v>
      </c>
      <c r="D12" s="3" t="s">
        <v>479</v>
      </c>
      <c r="E12" s="0" t="n">
        <v>48</v>
      </c>
      <c r="F12" s="0" t="n">
        <v>351.3</v>
      </c>
      <c r="G12" s="0" t="n">
        <v>386.8</v>
      </c>
      <c r="H12" s="4" t="n">
        <f aca="false">G12*2.9*1.18</f>
        <v>1323.6296</v>
      </c>
    </row>
    <row r="13" customFormat="false" ht="15" hidden="false" customHeight="false" outlineLevel="0" collapsed="false">
      <c r="A13" s="0" t="n">
        <v>10</v>
      </c>
      <c r="B13" s="6" t="n">
        <v>46070</v>
      </c>
      <c r="C13" s="3" t="s">
        <v>26</v>
      </c>
      <c r="D13" s="3" t="s">
        <v>477</v>
      </c>
      <c r="E13" s="0" t="n">
        <v>538</v>
      </c>
      <c r="F13" s="0" t="n">
        <v>4969.7</v>
      </c>
      <c r="G13" s="0" t="n">
        <v>5429</v>
      </c>
      <c r="H13" s="4" t="n">
        <f aca="false">G13*3.3*1.18</f>
        <v>21140.526</v>
      </c>
    </row>
    <row r="14" customFormat="false" ht="15" hidden="false" customHeight="false" outlineLevel="0" collapsed="false">
      <c r="A14" s="0" t="n">
        <v>11</v>
      </c>
      <c r="B14" s="6" t="n">
        <v>46070</v>
      </c>
      <c r="C14" s="3" t="s">
        <v>26</v>
      </c>
      <c r="D14" s="3" t="s">
        <v>478</v>
      </c>
      <c r="E14" s="0" t="n">
        <v>538</v>
      </c>
      <c r="F14" s="0" t="n">
        <v>4969.7</v>
      </c>
      <c r="G14" s="0" t="n">
        <v>5429</v>
      </c>
      <c r="H14" s="4" t="n">
        <f aca="false">G14*1.2*1.18</f>
        <v>7687.464</v>
      </c>
    </row>
    <row r="15" customFormat="false" ht="15" hidden="false" customHeight="false" outlineLevel="0" collapsed="false">
      <c r="A15" s="0" t="n">
        <v>12</v>
      </c>
      <c r="B15" s="6" t="n">
        <v>46070</v>
      </c>
      <c r="C15" s="3" t="s">
        <v>26</v>
      </c>
      <c r="D15" s="3" t="s">
        <v>479</v>
      </c>
      <c r="E15" s="0" t="n">
        <v>538</v>
      </c>
      <c r="F15" s="0" t="n">
        <v>4969.7</v>
      </c>
      <c r="G15" s="0" t="n">
        <v>5429</v>
      </c>
      <c r="H15" s="4" t="n">
        <f aca="false">G15*2.9*1.18</f>
        <v>18578.038</v>
      </c>
    </row>
    <row r="16" customFormat="false" ht="15" hidden="false" customHeight="false" outlineLevel="0" collapsed="false">
      <c r="A16" s="0" t="n">
        <v>13</v>
      </c>
      <c r="B16" s="6" t="n">
        <v>46070</v>
      </c>
      <c r="C16" s="3" t="s">
        <v>77</v>
      </c>
      <c r="D16" s="3" t="s">
        <v>477</v>
      </c>
      <c r="E16" s="0" t="n">
        <v>346</v>
      </c>
      <c r="F16" s="0" t="n">
        <v>4415.1</v>
      </c>
      <c r="G16" s="0" t="n">
        <v>6095.3</v>
      </c>
      <c r="H16" s="4" t="n">
        <f aca="false">G16*3.3*1.18</f>
        <v>23735.0982</v>
      </c>
    </row>
    <row r="17" customFormat="false" ht="15" hidden="false" customHeight="false" outlineLevel="0" collapsed="false">
      <c r="A17" s="0" t="n">
        <v>14</v>
      </c>
      <c r="B17" s="6" t="n">
        <v>46070</v>
      </c>
      <c r="C17" s="3" t="s">
        <v>77</v>
      </c>
      <c r="D17" s="3" t="s">
        <v>478</v>
      </c>
      <c r="E17" s="0" t="n">
        <v>346</v>
      </c>
      <c r="F17" s="0" t="n">
        <v>4415.1</v>
      </c>
      <c r="G17" s="0" t="n">
        <v>6095.3</v>
      </c>
      <c r="H17" s="4" t="n">
        <f aca="false">G17*1.2*1.18</f>
        <v>8630.9448</v>
      </c>
    </row>
    <row r="18" customFormat="false" ht="15" hidden="false" customHeight="false" outlineLevel="0" collapsed="false">
      <c r="A18" s="0" t="n">
        <v>15</v>
      </c>
      <c r="B18" s="6" t="n">
        <v>46070</v>
      </c>
      <c r="C18" s="3" t="s">
        <v>77</v>
      </c>
      <c r="D18" s="3" t="s">
        <v>479</v>
      </c>
      <c r="E18" s="0" t="n">
        <v>346</v>
      </c>
      <c r="F18" s="0" t="n">
        <v>4415.1</v>
      </c>
      <c r="G18" s="0" t="n">
        <v>6095.3</v>
      </c>
      <c r="H18" s="4" t="n">
        <f aca="false">G18*2.9*1.18</f>
        <v>20858.1166</v>
      </c>
    </row>
    <row r="19" customFormat="false" ht="15" hidden="false" customHeight="false" outlineLevel="0" collapsed="false">
      <c r="A19" s="0" t="n">
        <v>16</v>
      </c>
      <c r="B19" s="6" t="n">
        <v>46071</v>
      </c>
      <c r="C19" s="3" t="s">
        <v>26</v>
      </c>
      <c r="D19" s="3" t="s">
        <v>477</v>
      </c>
      <c r="E19" s="0" t="n">
        <v>23</v>
      </c>
      <c r="F19" s="0" t="n">
        <v>1658.3</v>
      </c>
      <c r="G19" s="0" t="n">
        <v>1824.3</v>
      </c>
      <c r="H19" s="4" t="n">
        <f aca="false">G19*3.3*1.18</f>
        <v>7103.8242</v>
      </c>
    </row>
    <row r="20" customFormat="false" ht="15" hidden="false" customHeight="false" outlineLevel="0" collapsed="false">
      <c r="A20" s="0" t="n">
        <v>17</v>
      </c>
      <c r="B20" s="6" t="n">
        <v>46071</v>
      </c>
      <c r="C20" s="3" t="s">
        <v>26</v>
      </c>
      <c r="D20" s="3" t="s">
        <v>478</v>
      </c>
      <c r="E20" s="0" t="n">
        <v>23</v>
      </c>
      <c r="F20" s="0" t="n">
        <v>1658.3</v>
      </c>
      <c r="G20" s="0" t="n">
        <v>1824.3</v>
      </c>
      <c r="H20" s="4" t="n">
        <f aca="false">G20*1.2*1.18</f>
        <v>2583.2088</v>
      </c>
    </row>
    <row r="21" customFormat="false" ht="15" hidden="false" customHeight="false" outlineLevel="0" collapsed="false">
      <c r="A21" s="0" t="n">
        <v>18</v>
      </c>
      <c r="B21" s="6" t="n">
        <v>46071</v>
      </c>
      <c r="C21" s="3" t="s">
        <v>26</v>
      </c>
      <c r="D21" s="3" t="s">
        <v>479</v>
      </c>
      <c r="E21" s="0" t="n">
        <v>23</v>
      </c>
      <c r="F21" s="0" t="n">
        <v>1658.3</v>
      </c>
      <c r="G21" s="0" t="n">
        <v>1824.3</v>
      </c>
      <c r="H21" s="4" t="n">
        <f aca="false">G21*2.9*1.18</f>
        <v>6242.7546</v>
      </c>
    </row>
    <row r="22" customFormat="false" ht="15" hidden="false" customHeight="false" outlineLevel="0" collapsed="false">
      <c r="A22" s="0" t="n">
        <v>19</v>
      </c>
      <c r="B22" s="6" t="n">
        <v>46071</v>
      </c>
      <c r="C22" s="3" t="s">
        <v>53</v>
      </c>
      <c r="D22" s="3" t="s">
        <v>477</v>
      </c>
      <c r="E22" s="0" t="n">
        <v>30</v>
      </c>
      <c r="F22" s="0" t="n">
        <v>1373.7</v>
      </c>
      <c r="G22" s="0" t="n">
        <v>1511</v>
      </c>
      <c r="H22" s="4" t="n">
        <f aca="false">G22*3.3*1.18</f>
        <v>5883.834</v>
      </c>
    </row>
    <row r="23" customFormat="false" ht="15" hidden="false" customHeight="false" outlineLevel="0" collapsed="false">
      <c r="A23" s="0" t="n">
        <v>20</v>
      </c>
      <c r="B23" s="6" t="n">
        <v>46071</v>
      </c>
      <c r="C23" s="3" t="s">
        <v>53</v>
      </c>
      <c r="D23" s="3" t="s">
        <v>478</v>
      </c>
      <c r="E23" s="0" t="n">
        <v>30</v>
      </c>
      <c r="F23" s="0" t="n">
        <v>1373.7</v>
      </c>
      <c r="G23" s="0" t="n">
        <v>1511</v>
      </c>
      <c r="H23" s="4" t="n">
        <f aca="false">G23*1.2*1.18</f>
        <v>2139.576</v>
      </c>
    </row>
    <row r="24" customFormat="false" ht="15" hidden="false" customHeight="false" outlineLevel="0" collapsed="false">
      <c r="A24" s="0" t="n">
        <v>21</v>
      </c>
      <c r="B24" s="6" t="n">
        <v>46071</v>
      </c>
      <c r="C24" s="3" t="s">
        <v>53</v>
      </c>
      <c r="D24" s="3" t="s">
        <v>479</v>
      </c>
      <c r="E24" s="0" t="n">
        <v>30</v>
      </c>
      <c r="F24" s="0" t="n">
        <v>1373.7</v>
      </c>
      <c r="G24" s="0" t="n">
        <v>1511</v>
      </c>
      <c r="H24" s="4" t="n">
        <f aca="false">G24*2.9*1.18</f>
        <v>5170.642</v>
      </c>
    </row>
    <row r="25" customFormat="false" ht="15" hidden="false" customHeight="false" outlineLevel="0" collapsed="false">
      <c r="A25" s="0" t="n">
        <v>22</v>
      </c>
      <c r="B25" s="6" t="n">
        <v>46071</v>
      </c>
      <c r="C25" s="3" t="s">
        <v>77</v>
      </c>
      <c r="D25" s="3" t="s">
        <v>477</v>
      </c>
      <c r="E25" s="0" t="n">
        <v>222</v>
      </c>
      <c r="F25" s="0" t="n">
        <v>6814.3</v>
      </c>
      <c r="G25" s="0" t="n">
        <v>7256.7</v>
      </c>
      <c r="H25" s="4" t="n">
        <f aca="false">G25*3.3*1.18</f>
        <v>28257.5898</v>
      </c>
    </row>
    <row r="26" customFormat="false" ht="15" hidden="false" customHeight="false" outlineLevel="0" collapsed="false">
      <c r="A26" s="0" t="n">
        <v>23</v>
      </c>
      <c r="B26" s="6" t="n">
        <v>46071</v>
      </c>
      <c r="C26" s="3" t="s">
        <v>77</v>
      </c>
      <c r="D26" s="3" t="s">
        <v>478</v>
      </c>
      <c r="E26" s="0" t="n">
        <v>222</v>
      </c>
      <c r="F26" s="0" t="n">
        <v>6814.3</v>
      </c>
      <c r="G26" s="0" t="n">
        <v>7256.7</v>
      </c>
      <c r="H26" s="4" t="n">
        <f aca="false">G26*1.2*1.18</f>
        <v>10275.4872</v>
      </c>
    </row>
    <row r="27" customFormat="false" ht="15" hidden="false" customHeight="false" outlineLevel="0" collapsed="false">
      <c r="A27" s="0" t="n">
        <v>24</v>
      </c>
      <c r="B27" s="6" t="n">
        <v>46071</v>
      </c>
      <c r="C27" s="3" t="s">
        <v>77</v>
      </c>
      <c r="D27" s="3" t="s">
        <v>479</v>
      </c>
      <c r="E27" s="0" t="n">
        <v>222</v>
      </c>
      <c r="F27" s="0" t="n">
        <v>6814.3</v>
      </c>
      <c r="G27" s="0" t="n">
        <v>7256.7</v>
      </c>
      <c r="H27" s="4" t="n">
        <f aca="false">G27*2.9*1.18</f>
        <v>24832.4274</v>
      </c>
    </row>
    <row r="28" customFormat="false" ht="15" hidden="false" customHeight="false" outlineLevel="0" collapsed="false">
      <c r="A28" s="0" t="n">
        <v>25</v>
      </c>
      <c r="B28" s="6" t="n">
        <v>46072</v>
      </c>
      <c r="C28" s="3" t="s">
        <v>26</v>
      </c>
      <c r="D28" s="3" t="s">
        <v>477</v>
      </c>
      <c r="E28" s="0" t="n">
        <v>182</v>
      </c>
      <c r="F28" s="0" t="n">
        <v>2843</v>
      </c>
      <c r="G28" s="0" t="n">
        <v>2843.6</v>
      </c>
      <c r="H28" s="4" t="n">
        <f aca="false">G28*3.3*1.18</f>
        <v>11072.9784</v>
      </c>
    </row>
    <row r="29" customFormat="false" ht="15" hidden="false" customHeight="false" outlineLevel="0" collapsed="false">
      <c r="A29" s="0" t="n">
        <v>26</v>
      </c>
      <c r="B29" s="6" t="n">
        <v>46072</v>
      </c>
      <c r="C29" s="3" t="s">
        <v>26</v>
      </c>
      <c r="D29" s="3" t="s">
        <v>478</v>
      </c>
      <c r="E29" s="0" t="n">
        <v>182</v>
      </c>
      <c r="F29" s="0" t="n">
        <v>2843</v>
      </c>
      <c r="G29" s="0" t="n">
        <v>2843.6</v>
      </c>
      <c r="H29" s="4" t="n">
        <f aca="false">G29*1.2*1.18</f>
        <v>4026.5376</v>
      </c>
    </row>
    <row r="30" customFormat="false" ht="15" hidden="false" customHeight="false" outlineLevel="0" collapsed="false">
      <c r="A30" s="0" t="n">
        <v>27</v>
      </c>
      <c r="B30" s="6" t="n">
        <v>46072</v>
      </c>
      <c r="C30" s="3" t="s">
        <v>26</v>
      </c>
      <c r="D30" s="3" t="s">
        <v>479</v>
      </c>
      <c r="E30" s="0" t="n">
        <v>182</v>
      </c>
      <c r="F30" s="0" t="n">
        <v>2843</v>
      </c>
      <c r="G30" s="0" t="n">
        <v>2843.6</v>
      </c>
      <c r="H30" s="4" t="n">
        <f aca="false">G30*2.9*1.18</f>
        <v>9730.7992</v>
      </c>
    </row>
    <row r="31" customFormat="false" ht="15" hidden="false" customHeight="false" outlineLevel="0" collapsed="false">
      <c r="A31" s="0" t="n">
        <v>28</v>
      </c>
      <c r="B31" s="6" t="n">
        <v>46072</v>
      </c>
      <c r="C31" s="3" t="s">
        <v>53</v>
      </c>
      <c r="D31" s="3" t="s">
        <v>477</v>
      </c>
      <c r="E31" s="0" t="n">
        <v>36</v>
      </c>
      <c r="F31" s="0" t="n">
        <v>2936.2</v>
      </c>
      <c r="G31" s="0" t="n">
        <v>2936.4</v>
      </c>
      <c r="H31" s="4" t="n">
        <f aca="false">G31*3.3*1.18</f>
        <v>11434.3416</v>
      </c>
    </row>
    <row r="32" customFormat="false" ht="15" hidden="false" customHeight="false" outlineLevel="0" collapsed="false">
      <c r="A32" s="0" t="n">
        <v>29</v>
      </c>
      <c r="B32" s="6" t="n">
        <v>46072</v>
      </c>
      <c r="C32" s="3" t="s">
        <v>53</v>
      </c>
      <c r="D32" s="3" t="s">
        <v>478</v>
      </c>
      <c r="E32" s="0" t="n">
        <v>36</v>
      </c>
      <c r="F32" s="0" t="n">
        <v>2936.2</v>
      </c>
      <c r="G32" s="0" t="n">
        <v>2936.4</v>
      </c>
      <c r="H32" s="4" t="n">
        <f aca="false">G32*1.2*1.18</f>
        <v>4157.9424</v>
      </c>
    </row>
    <row r="33" customFormat="false" ht="15" hidden="false" customHeight="false" outlineLevel="0" collapsed="false">
      <c r="A33" s="0" t="n">
        <v>30</v>
      </c>
      <c r="B33" s="6" t="n">
        <v>46072</v>
      </c>
      <c r="C33" s="3" t="s">
        <v>53</v>
      </c>
      <c r="D33" s="3" t="s">
        <v>479</v>
      </c>
      <c r="E33" s="0" t="n">
        <v>36</v>
      </c>
      <c r="F33" s="0" t="n">
        <v>2936.2</v>
      </c>
      <c r="G33" s="0" t="n">
        <v>2936.4</v>
      </c>
      <c r="H33" s="4" t="n">
        <f aca="false">G33*2.9*1.18</f>
        <v>10048.3608</v>
      </c>
    </row>
    <row r="34" customFormat="false" ht="15" hidden="false" customHeight="false" outlineLevel="0" collapsed="false">
      <c r="A34" s="0" t="n">
        <v>31</v>
      </c>
      <c r="B34" s="6" t="n">
        <v>46072</v>
      </c>
      <c r="C34" s="3" t="s">
        <v>77</v>
      </c>
      <c r="D34" s="3" t="s">
        <v>477</v>
      </c>
      <c r="E34" s="0" t="n">
        <v>219</v>
      </c>
      <c r="F34" s="0" t="n">
        <v>3177.1</v>
      </c>
      <c r="G34" s="0" t="n">
        <v>3177.6</v>
      </c>
      <c r="H34" s="4" t="n">
        <f aca="false">G34*3.3*1.18</f>
        <v>12373.5744</v>
      </c>
    </row>
    <row r="35" customFormat="false" ht="15" hidden="false" customHeight="false" outlineLevel="0" collapsed="false">
      <c r="A35" s="0" t="n">
        <v>32</v>
      </c>
      <c r="B35" s="6" t="n">
        <v>46072</v>
      </c>
      <c r="C35" s="3" t="s">
        <v>77</v>
      </c>
      <c r="D35" s="3" t="s">
        <v>478</v>
      </c>
      <c r="E35" s="0" t="n">
        <v>219</v>
      </c>
      <c r="F35" s="0" t="n">
        <v>3177.1</v>
      </c>
      <c r="G35" s="0" t="n">
        <v>3177.6</v>
      </c>
      <c r="H35" s="4" t="n">
        <f aca="false">G35*1.2*1.18</f>
        <v>4499.4816</v>
      </c>
    </row>
    <row r="36" customFormat="false" ht="15" hidden="false" customHeight="false" outlineLevel="0" collapsed="false">
      <c r="A36" s="0" t="n">
        <v>33</v>
      </c>
      <c r="B36" s="6" t="n">
        <v>46072</v>
      </c>
      <c r="C36" s="3" t="s">
        <v>77</v>
      </c>
      <c r="D36" s="3" t="s">
        <v>479</v>
      </c>
      <c r="E36" s="0" t="n">
        <v>219</v>
      </c>
      <c r="F36" s="0" t="n">
        <v>3177.1</v>
      </c>
      <c r="G36" s="0" t="n">
        <v>3177.6</v>
      </c>
      <c r="H36" s="4" t="n">
        <f aca="false">G36*2.9*1.18</f>
        <v>10873.7472</v>
      </c>
    </row>
    <row r="37" customFormat="false" ht="15" hidden="false" customHeight="false" outlineLevel="0" collapsed="false">
      <c r="A37" s="0" t="n">
        <v>34</v>
      </c>
      <c r="B37" s="6" t="n">
        <v>46073</v>
      </c>
      <c r="C37" s="3" t="s">
        <v>53</v>
      </c>
      <c r="D37" s="3" t="s">
        <v>477</v>
      </c>
      <c r="E37" s="0" t="n">
        <v>158</v>
      </c>
      <c r="F37" s="0" t="n">
        <v>3067.5</v>
      </c>
      <c r="G37" s="0" t="n">
        <v>4601.4</v>
      </c>
      <c r="H37" s="4" t="n">
        <f aca="false">G37*3.3*1.18</f>
        <v>17917.8516</v>
      </c>
    </row>
    <row r="38" customFormat="false" ht="15" hidden="false" customHeight="false" outlineLevel="0" collapsed="false">
      <c r="A38" s="0" t="n">
        <v>35</v>
      </c>
      <c r="B38" s="6" t="n">
        <v>46073</v>
      </c>
      <c r="C38" s="3" t="s">
        <v>53</v>
      </c>
      <c r="D38" s="3" t="s">
        <v>478</v>
      </c>
      <c r="E38" s="0" t="n">
        <v>158</v>
      </c>
      <c r="F38" s="0" t="n">
        <v>3067.5</v>
      </c>
      <c r="G38" s="0" t="n">
        <v>4601.4</v>
      </c>
      <c r="H38" s="4" t="n">
        <f aca="false">G38*1.2*1.18</f>
        <v>6515.5824</v>
      </c>
    </row>
    <row r="39" customFormat="false" ht="15" hidden="false" customHeight="false" outlineLevel="0" collapsed="false">
      <c r="A39" s="0" t="n">
        <v>36</v>
      </c>
      <c r="B39" s="6" t="n">
        <v>46073</v>
      </c>
      <c r="C39" s="3" t="s">
        <v>53</v>
      </c>
      <c r="D39" s="3" t="s">
        <v>479</v>
      </c>
      <c r="E39" s="0" t="n">
        <v>158</v>
      </c>
      <c r="F39" s="0" t="n">
        <v>3067.5</v>
      </c>
      <c r="G39" s="0" t="n">
        <v>4601.4</v>
      </c>
      <c r="H39" s="4" t="n">
        <f aca="false">G39*2.9*1.18</f>
        <v>15745.9908</v>
      </c>
    </row>
    <row r="40" customFormat="false" ht="15" hidden="false" customHeight="false" outlineLevel="0" collapsed="false">
      <c r="A40" s="0" t="n">
        <v>37</v>
      </c>
      <c r="B40" s="6" t="n">
        <v>46073</v>
      </c>
      <c r="C40" s="3" t="s">
        <v>77</v>
      </c>
      <c r="D40" s="3" t="s">
        <v>477</v>
      </c>
      <c r="E40" s="0" t="n">
        <v>109</v>
      </c>
      <c r="F40" s="0" t="n">
        <v>1106.4</v>
      </c>
      <c r="G40" s="0" t="n">
        <v>1106.7</v>
      </c>
      <c r="H40" s="4" t="n">
        <f aca="false">G40*3.3*1.18</f>
        <v>4309.4898</v>
      </c>
    </row>
    <row r="41" customFormat="false" ht="15" hidden="false" customHeight="false" outlineLevel="0" collapsed="false">
      <c r="A41" s="0" t="n">
        <v>38</v>
      </c>
      <c r="B41" s="6" t="n">
        <v>46073</v>
      </c>
      <c r="C41" s="3" t="s">
        <v>77</v>
      </c>
      <c r="D41" s="3" t="s">
        <v>478</v>
      </c>
      <c r="E41" s="0" t="n">
        <v>109</v>
      </c>
      <c r="F41" s="0" t="n">
        <v>1106.4</v>
      </c>
      <c r="G41" s="0" t="n">
        <v>1106.7</v>
      </c>
      <c r="H41" s="4" t="n">
        <f aca="false">G41*1.2*1.18</f>
        <v>1567.0872</v>
      </c>
    </row>
    <row r="42" customFormat="false" ht="15" hidden="false" customHeight="false" outlineLevel="0" collapsed="false">
      <c r="A42" s="0" t="n">
        <v>39</v>
      </c>
      <c r="B42" s="6" t="n">
        <v>46073</v>
      </c>
      <c r="C42" s="3" t="s">
        <v>77</v>
      </c>
      <c r="D42" s="3" t="s">
        <v>479</v>
      </c>
      <c r="E42" s="0" t="n">
        <v>109</v>
      </c>
      <c r="F42" s="0" t="n">
        <v>1106.4</v>
      </c>
      <c r="G42" s="0" t="n">
        <v>1106.7</v>
      </c>
      <c r="H42" s="4" t="n">
        <f aca="false">G42*2.9*1.18</f>
        <v>3787.1274</v>
      </c>
    </row>
    <row r="43" customFormat="false" ht="15" hidden="false" customHeight="false" outlineLevel="0" collapsed="false">
      <c r="A43" s="0" t="n">
        <v>40</v>
      </c>
      <c r="B43" s="6" t="n">
        <v>46074</v>
      </c>
      <c r="C43" s="3" t="s">
        <v>26</v>
      </c>
      <c r="D43" s="3" t="s">
        <v>477</v>
      </c>
      <c r="E43" s="0" t="n">
        <v>278</v>
      </c>
      <c r="F43" s="0" t="n">
        <v>1307.4</v>
      </c>
      <c r="G43" s="0" t="n">
        <v>1754.5</v>
      </c>
      <c r="H43" s="4" t="n">
        <f aca="false">G43*3.3*1.18</f>
        <v>6832.023</v>
      </c>
    </row>
    <row r="44" customFormat="false" ht="15" hidden="false" customHeight="false" outlineLevel="0" collapsed="false">
      <c r="A44" s="0" t="n">
        <v>41</v>
      </c>
      <c r="B44" s="6" t="n">
        <v>46074</v>
      </c>
      <c r="C44" s="3" t="s">
        <v>26</v>
      </c>
      <c r="D44" s="3" t="s">
        <v>478</v>
      </c>
      <c r="E44" s="0" t="n">
        <v>278</v>
      </c>
      <c r="F44" s="0" t="n">
        <v>1307.4</v>
      </c>
      <c r="G44" s="0" t="n">
        <v>1754.5</v>
      </c>
      <c r="H44" s="4" t="n">
        <f aca="false">G44*1.2*1.18</f>
        <v>2484.372</v>
      </c>
    </row>
    <row r="45" customFormat="false" ht="15" hidden="false" customHeight="false" outlineLevel="0" collapsed="false">
      <c r="A45" s="0" t="n">
        <v>42</v>
      </c>
      <c r="B45" s="6" t="n">
        <v>46074</v>
      </c>
      <c r="C45" s="3" t="s">
        <v>26</v>
      </c>
      <c r="D45" s="3" t="s">
        <v>479</v>
      </c>
      <c r="E45" s="0" t="n">
        <v>278</v>
      </c>
      <c r="F45" s="0" t="n">
        <v>1307.4</v>
      </c>
      <c r="G45" s="0" t="n">
        <v>1754.5</v>
      </c>
      <c r="H45" s="4" t="n">
        <f aca="false">G45*2.9*1.18</f>
        <v>6003.899</v>
      </c>
    </row>
    <row r="46" customFormat="false" ht="15" hidden="false" customHeight="false" outlineLevel="0" collapsed="false">
      <c r="D46" s="7" t="s">
        <v>480</v>
      </c>
      <c r="H46" s="7" t="n">
        <f aca="false">SUM(H4:H45)</f>
        <v>450255.9748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5" t="s">
        <v>479</v>
      </c>
    </row>
    <row r="2" customFormat="false" ht="15" hidden="false" customHeight="false" outlineLevel="0" collapsed="false">
      <c r="H2" s="0" t="s">
        <v>481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7</v>
      </c>
      <c r="E3" s="1" t="s">
        <v>482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483</v>
      </c>
      <c r="K3" s="1" t="s">
        <v>484</v>
      </c>
      <c r="L3" s="1" t="s">
        <v>485</v>
      </c>
      <c r="M3" s="1" t="s">
        <v>486</v>
      </c>
      <c r="N3" s="1" t="s">
        <v>19</v>
      </c>
    </row>
    <row r="4" customFormat="false" ht="15" hidden="false" customHeight="false" outlineLevel="0" collapsed="false">
      <c r="A4" s="0" t="s">
        <v>26</v>
      </c>
      <c r="B4" s="6" t="n">
        <v>46069</v>
      </c>
      <c r="C4" s="3" t="s">
        <v>27</v>
      </c>
      <c r="D4" s="0" t="n">
        <v>44</v>
      </c>
      <c r="E4" s="0" t="n">
        <v>3160.36</v>
      </c>
      <c r="F4" s="6" t="n">
        <v>46067</v>
      </c>
      <c r="G4" s="3" t="s">
        <v>33</v>
      </c>
      <c r="H4" s="6" t="n">
        <v>46069</v>
      </c>
      <c r="I4" s="3" t="s">
        <v>34</v>
      </c>
      <c r="J4" s="0" t="n">
        <v>2.9</v>
      </c>
      <c r="K4" s="0" t="n">
        <v>2</v>
      </c>
      <c r="L4" s="4" t="n">
        <f aca="false">E4*J4*K4</f>
        <v>18330.088</v>
      </c>
      <c r="M4" s="4" t="n">
        <f aca="false">L4*1.18</f>
        <v>21629.50384</v>
      </c>
      <c r="N4" s="3" t="s">
        <v>36</v>
      </c>
    </row>
    <row r="5" customFormat="false" ht="15" hidden="false" customHeight="false" outlineLevel="0" collapsed="false">
      <c r="A5" s="0" t="s">
        <v>26</v>
      </c>
      <c r="B5" s="6" t="n">
        <v>46069</v>
      </c>
      <c r="C5" s="3" t="s">
        <v>37</v>
      </c>
      <c r="D5" s="0" t="n">
        <v>89</v>
      </c>
      <c r="E5" s="0" t="n">
        <v>1290.79</v>
      </c>
      <c r="F5" s="6" t="n">
        <v>46066</v>
      </c>
      <c r="G5" s="3" t="s">
        <v>42</v>
      </c>
      <c r="H5" s="6" t="n">
        <v>46069</v>
      </c>
      <c r="I5" s="3" t="s">
        <v>43</v>
      </c>
      <c r="J5" s="0" t="n">
        <v>2.9</v>
      </c>
      <c r="K5" s="0" t="n">
        <v>1</v>
      </c>
      <c r="L5" s="4" t="n">
        <f aca="false">E5*J5*K5</f>
        <v>3743.291</v>
      </c>
      <c r="M5" s="4" t="n">
        <f aca="false">L5*1.18</f>
        <v>4417.08338</v>
      </c>
      <c r="N5" s="3" t="s">
        <v>45</v>
      </c>
    </row>
    <row r="6" customFormat="false" ht="15" hidden="false" customHeight="false" outlineLevel="0" collapsed="false">
      <c r="A6" s="0" t="s">
        <v>26</v>
      </c>
      <c r="B6" s="6" t="n">
        <v>46069</v>
      </c>
      <c r="C6" s="3" t="s">
        <v>46</v>
      </c>
      <c r="D6" s="0" t="n">
        <v>206</v>
      </c>
      <c r="E6" s="0" t="n">
        <v>421.81</v>
      </c>
      <c r="F6" s="6" t="n">
        <v>46068</v>
      </c>
      <c r="G6" s="3" t="s">
        <v>50</v>
      </c>
      <c r="H6" s="6" t="n">
        <v>46069</v>
      </c>
      <c r="I6" s="3" t="s">
        <v>51</v>
      </c>
      <c r="J6" s="0" t="n">
        <v>2.9</v>
      </c>
      <c r="K6" s="0" t="n">
        <v>1</v>
      </c>
      <c r="L6" s="4" t="n">
        <f aca="false">E6*J6*K6</f>
        <v>1223.249</v>
      </c>
      <c r="M6" s="4" t="n">
        <f aca="false">L6*1.18</f>
        <v>1443.43382</v>
      </c>
      <c r="N6" s="3" t="s">
        <v>36</v>
      </c>
    </row>
    <row r="7" customFormat="false" ht="15" hidden="false" customHeight="false" outlineLevel="0" collapsed="false">
      <c r="A7" s="0" t="s">
        <v>53</v>
      </c>
      <c r="B7" s="6" t="n">
        <v>46069</v>
      </c>
      <c r="C7" s="3" t="s">
        <v>54</v>
      </c>
      <c r="D7" s="0" t="n">
        <v>86</v>
      </c>
      <c r="E7" s="0" t="n">
        <v>1072.43</v>
      </c>
      <c r="F7" s="6" t="n">
        <v>46067</v>
      </c>
      <c r="G7" s="3" t="s">
        <v>58</v>
      </c>
      <c r="H7" s="6" t="n">
        <v>46069</v>
      </c>
      <c r="I7" s="3" t="s">
        <v>59</v>
      </c>
      <c r="J7" s="0" t="n">
        <v>2.9</v>
      </c>
      <c r="K7" s="0" t="n">
        <v>3</v>
      </c>
      <c r="L7" s="4" t="n">
        <f aca="false">E7*J7*K7</f>
        <v>9330.141</v>
      </c>
      <c r="M7" s="4" t="n">
        <f aca="false">L7*1.18</f>
        <v>11009.56638</v>
      </c>
      <c r="N7" s="3" t="s">
        <v>36</v>
      </c>
    </row>
    <row r="8" customFormat="false" ht="15" hidden="false" customHeight="false" outlineLevel="0" collapsed="false">
      <c r="A8" s="0" t="s">
        <v>53</v>
      </c>
      <c r="B8" s="6" t="n">
        <v>46069</v>
      </c>
      <c r="C8" s="3" t="s">
        <v>61</v>
      </c>
      <c r="D8" s="0" t="n">
        <v>67</v>
      </c>
      <c r="E8" s="0" t="n">
        <v>3210.76</v>
      </c>
      <c r="F8" s="6" t="n">
        <v>46069</v>
      </c>
      <c r="G8" s="3" t="s">
        <v>65</v>
      </c>
      <c r="H8" s="6" t="n">
        <v>46069</v>
      </c>
      <c r="I8" s="3" t="s">
        <v>66</v>
      </c>
      <c r="J8" s="0" t="n">
        <v>2.9</v>
      </c>
      <c r="K8" s="0" t="n">
        <v>2</v>
      </c>
      <c r="L8" s="4" t="n">
        <f aca="false">E8*J8*K8</f>
        <v>18622.408</v>
      </c>
      <c r="M8" s="4" t="n">
        <f aca="false">L8*1.18</f>
        <v>21974.44144</v>
      </c>
      <c r="N8" s="3" t="s">
        <v>36</v>
      </c>
    </row>
    <row r="9" customFormat="false" ht="15" hidden="false" customHeight="false" outlineLevel="0" collapsed="false">
      <c r="A9" s="0" t="s">
        <v>53</v>
      </c>
      <c r="B9" s="6" t="n">
        <v>46069</v>
      </c>
      <c r="C9" s="3" t="s">
        <v>68</v>
      </c>
      <c r="D9" s="0" t="n">
        <v>159</v>
      </c>
      <c r="E9" s="0" t="n">
        <v>3484.4</v>
      </c>
      <c r="F9" s="6" t="n">
        <v>46069</v>
      </c>
      <c r="G9" s="3" t="s">
        <v>73</v>
      </c>
      <c r="H9" s="6" t="n">
        <v>46069</v>
      </c>
      <c r="I9" s="3" t="s">
        <v>74</v>
      </c>
      <c r="J9" s="0" t="n">
        <v>4.9</v>
      </c>
      <c r="K9" s="0" t="n">
        <v>1</v>
      </c>
      <c r="L9" s="4" t="n">
        <f aca="false">E9*J9*K9</f>
        <v>17073.56</v>
      </c>
      <c r="M9" s="4" t="n">
        <f aca="false">L9*1.18</f>
        <v>20146.8008</v>
      </c>
      <c r="N9" s="3" t="s">
        <v>76</v>
      </c>
    </row>
    <row r="10" customFormat="false" ht="15" hidden="false" customHeight="false" outlineLevel="0" collapsed="false">
      <c r="A10" s="0" t="s">
        <v>26</v>
      </c>
      <c r="B10" s="6" t="n">
        <v>46070</v>
      </c>
      <c r="C10" s="3" t="s">
        <v>85</v>
      </c>
      <c r="D10" s="0" t="n">
        <v>151</v>
      </c>
      <c r="E10" s="0" t="n">
        <v>2655.22</v>
      </c>
      <c r="F10" s="6" t="n">
        <v>46069</v>
      </c>
      <c r="G10" s="3" t="s">
        <v>90</v>
      </c>
      <c r="H10" s="6" t="n">
        <v>46070</v>
      </c>
      <c r="I10" s="3" t="s">
        <v>91</v>
      </c>
      <c r="J10" s="0" t="n">
        <v>2.9</v>
      </c>
      <c r="K10" s="0" t="n">
        <v>1</v>
      </c>
      <c r="L10" s="4" t="n">
        <f aca="false">E10*J10*K10</f>
        <v>7700.138</v>
      </c>
      <c r="M10" s="4" t="n">
        <f aca="false">L10*1.18</f>
        <v>9086.16284</v>
      </c>
      <c r="N10" s="3" t="s">
        <v>45</v>
      </c>
    </row>
    <row r="11" customFormat="false" ht="15" hidden="false" customHeight="false" outlineLevel="0" collapsed="false">
      <c r="A11" s="0" t="s">
        <v>26</v>
      </c>
      <c r="B11" s="6" t="n">
        <v>46070</v>
      </c>
      <c r="C11" s="3" t="s">
        <v>93</v>
      </c>
      <c r="D11" s="0" t="n">
        <v>194</v>
      </c>
      <c r="E11" s="0" t="n">
        <v>1833.1</v>
      </c>
      <c r="F11" s="6" t="n">
        <v>46068</v>
      </c>
      <c r="G11" s="3" t="s">
        <v>98</v>
      </c>
      <c r="H11" s="6" t="n">
        <v>46070</v>
      </c>
      <c r="I11" s="3" t="s">
        <v>99</v>
      </c>
      <c r="J11" s="0" t="n">
        <v>4.9</v>
      </c>
      <c r="K11" s="0" t="n">
        <v>2</v>
      </c>
      <c r="L11" s="4" t="n">
        <f aca="false">E11*J11*K11</f>
        <v>17964.38</v>
      </c>
      <c r="M11" s="4" t="n">
        <f aca="false">L11*1.18</f>
        <v>21197.9684</v>
      </c>
      <c r="N11" s="3" t="s">
        <v>101</v>
      </c>
    </row>
    <row r="12" customFormat="false" ht="15" hidden="false" customHeight="false" outlineLevel="0" collapsed="false">
      <c r="A12" s="0" t="s">
        <v>26</v>
      </c>
      <c r="B12" s="6" t="n">
        <v>46070</v>
      </c>
      <c r="C12" s="3" t="s">
        <v>102</v>
      </c>
      <c r="D12" s="0" t="n">
        <v>193</v>
      </c>
      <c r="E12" s="0" t="n">
        <v>940.71</v>
      </c>
      <c r="F12" s="6" t="n">
        <v>46067</v>
      </c>
      <c r="G12" s="3" t="s">
        <v>106</v>
      </c>
      <c r="H12" s="6" t="n">
        <v>46070</v>
      </c>
      <c r="I12" s="3" t="s">
        <v>107</v>
      </c>
      <c r="J12" s="0" t="n">
        <v>2.9</v>
      </c>
      <c r="K12" s="0" t="n">
        <v>3</v>
      </c>
      <c r="L12" s="4" t="n">
        <f aca="false">E12*J12*K12</f>
        <v>8184.177</v>
      </c>
      <c r="M12" s="4" t="n">
        <f aca="false">L12*1.18</f>
        <v>9657.32886</v>
      </c>
      <c r="N12" s="3" t="s">
        <v>36</v>
      </c>
    </row>
    <row r="13" customFormat="false" ht="15" hidden="false" customHeight="false" outlineLevel="0" collapsed="false">
      <c r="A13" s="0" t="s">
        <v>77</v>
      </c>
      <c r="B13" s="6" t="n">
        <v>46070</v>
      </c>
      <c r="C13" s="3" t="s">
        <v>114</v>
      </c>
      <c r="D13" s="0" t="n">
        <v>43</v>
      </c>
      <c r="E13" s="0" t="n">
        <v>1303.38</v>
      </c>
      <c r="F13" s="6" t="n">
        <v>46069</v>
      </c>
      <c r="G13" s="3" t="s">
        <v>118</v>
      </c>
      <c r="H13" s="6" t="n">
        <v>46070</v>
      </c>
      <c r="I13" s="3" t="s">
        <v>119</v>
      </c>
      <c r="J13" s="0" t="n">
        <v>2.9</v>
      </c>
      <c r="K13" s="0" t="n">
        <v>2</v>
      </c>
      <c r="L13" s="4" t="n">
        <f aca="false">E13*J13*K13</f>
        <v>7559.604</v>
      </c>
      <c r="M13" s="4" t="n">
        <f aca="false">L13*1.18</f>
        <v>8920.33272</v>
      </c>
      <c r="N13" s="3" t="s">
        <v>36</v>
      </c>
    </row>
    <row r="14" customFormat="false" ht="15" hidden="false" customHeight="false" outlineLevel="0" collapsed="false">
      <c r="A14" s="0" t="s">
        <v>26</v>
      </c>
      <c r="B14" s="6" t="n">
        <v>46071</v>
      </c>
      <c r="C14" s="3" t="s">
        <v>126</v>
      </c>
      <c r="D14" s="0" t="n">
        <v>23</v>
      </c>
      <c r="E14" s="0" t="n">
        <v>1824.34</v>
      </c>
      <c r="F14" s="6" t="n">
        <v>46069</v>
      </c>
      <c r="G14" s="3" t="s">
        <v>130</v>
      </c>
      <c r="H14" s="6" t="n">
        <v>46071</v>
      </c>
      <c r="I14" s="3" t="s">
        <v>131</v>
      </c>
      <c r="J14" s="0" t="n">
        <v>4.9</v>
      </c>
      <c r="K14" s="0" t="n">
        <v>2</v>
      </c>
      <c r="L14" s="4" t="n">
        <f aca="false">E14*J14*K14</f>
        <v>17878.532</v>
      </c>
      <c r="M14" s="4" t="n">
        <f aca="false">L14*1.18</f>
        <v>21096.66776</v>
      </c>
      <c r="N14" s="3" t="s">
        <v>101</v>
      </c>
    </row>
    <row r="15" customFormat="false" ht="15" hidden="false" customHeight="false" outlineLevel="0" collapsed="false">
      <c r="A15" s="0" t="s">
        <v>53</v>
      </c>
      <c r="B15" s="6" t="n">
        <v>46071</v>
      </c>
      <c r="C15" s="3" t="s">
        <v>132</v>
      </c>
      <c r="D15" s="0" t="n">
        <v>30</v>
      </c>
      <c r="E15" s="0" t="n">
        <v>1511.03</v>
      </c>
      <c r="F15" s="6" t="n">
        <v>46070</v>
      </c>
      <c r="G15" s="3" t="s">
        <v>137</v>
      </c>
      <c r="H15" s="6" t="n">
        <v>46071</v>
      </c>
      <c r="I15" s="3" t="s">
        <v>138</v>
      </c>
      <c r="J15" s="0" t="n">
        <v>2.4</v>
      </c>
      <c r="K15" s="0" t="n">
        <v>3</v>
      </c>
      <c r="L15" s="4" t="n">
        <f aca="false">E15*J15*K15</f>
        <v>10879.416</v>
      </c>
      <c r="M15" s="4" t="n">
        <f aca="false">L15*1.18</f>
        <v>12837.71088</v>
      </c>
      <c r="N15" s="3" t="s">
        <v>139</v>
      </c>
    </row>
    <row r="16" customFormat="false" ht="15" hidden="false" customHeight="false" outlineLevel="0" collapsed="false">
      <c r="A16" s="0" t="s">
        <v>77</v>
      </c>
      <c r="B16" s="6" t="n">
        <v>46071</v>
      </c>
      <c r="C16" s="3" t="s">
        <v>140</v>
      </c>
      <c r="D16" s="0" t="n">
        <v>39</v>
      </c>
      <c r="E16" s="0" t="n">
        <v>2076.63</v>
      </c>
      <c r="F16" s="6" t="n">
        <v>46069</v>
      </c>
      <c r="G16" s="3" t="s">
        <v>143</v>
      </c>
      <c r="H16" s="6" t="n">
        <v>46071</v>
      </c>
      <c r="I16" s="3" t="s">
        <v>144</v>
      </c>
      <c r="J16" s="0" t="n">
        <v>2.9</v>
      </c>
      <c r="K16" s="0" t="n">
        <v>3</v>
      </c>
      <c r="L16" s="4" t="n">
        <f aca="false">E16*J16*K16</f>
        <v>18066.681</v>
      </c>
      <c r="M16" s="4" t="n">
        <f aca="false">L16*1.18</f>
        <v>21318.68358</v>
      </c>
      <c r="N16" s="3" t="s">
        <v>36</v>
      </c>
    </row>
    <row r="17" customFormat="false" ht="15" hidden="false" customHeight="false" outlineLevel="0" collapsed="false">
      <c r="A17" s="0" t="s">
        <v>77</v>
      </c>
      <c r="B17" s="6" t="n">
        <v>46071</v>
      </c>
      <c r="C17" s="3" t="s">
        <v>145</v>
      </c>
      <c r="D17" s="0" t="n">
        <v>71</v>
      </c>
      <c r="E17" s="0" t="n">
        <v>2337.79</v>
      </c>
      <c r="F17" s="6" t="n">
        <v>46069</v>
      </c>
      <c r="G17" s="3" t="s">
        <v>149</v>
      </c>
      <c r="H17" s="6" t="n">
        <v>46071</v>
      </c>
      <c r="I17" s="3" t="s">
        <v>150</v>
      </c>
      <c r="J17" s="0" t="n">
        <v>11.5</v>
      </c>
      <c r="K17" s="0" t="n">
        <v>1</v>
      </c>
      <c r="L17" s="4" t="n">
        <f aca="false">E17*J17*K17</f>
        <v>26884.585</v>
      </c>
      <c r="M17" s="4" t="n">
        <f aca="false">L17*1.18</f>
        <v>31723.8103</v>
      </c>
      <c r="N17" s="3" t="s">
        <v>152</v>
      </c>
    </row>
    <row r="18" customFormat="false" ht="15" hidden="false" customHeight="false" outlineLevel="0" collapsed="false">
      <c r="A18" s="0" t="s">
        <v>77</v>
      </c>
      <c r="B18" s="6" t="n">
        <v>46071</v>
      </c>
      <c r="C18" s="3" t="s">
        <v>153</v>
      </c>
      <c r="D18" s="0" t="n">
        <v>35</v>
      </c>
      <c r="E18" s="0" t="n">
        <v>931.43</v>
      </c>
      <c r="F18" s="6" t="n">
        <v>46069</v>
      </c>
      <c r="G18" s="3" t="s">
        <v>157</v>
      </c>
      <c r="H18" s="6" t="n">
        <v>46071</v>
      </c>
      <c r="I18" s="3" t="s">
        <v>158</v>
      </c>
      <c r="J18" s="0" t="n">
        <v>2.9</v>
      </c>
      <c r="K18" s="0" t="n">
        <v>3</v>
      </c>
      <c r="L18" s="4" t="n">
        <f aca="false">E18*J18*K18</f>
        <v>8103.441</v>
      </c>
      <c r="M18" s="4" t="n">
        <f aca="false">L18*1.18</f>
        <v>9562.06038</v>
      </c>
      <c r="N18" s="3" t="s">
        <v>36</v>
      </c>
    </row>
    <row r="19" customFormat="false" ht="15" hidden="false" customHeight="false" outlineLevel="0" collapsed="false">
      <c r="A19" s="0" t="s">
        <v>77</v>
      </c>
      <c r="B19" s="6" t="n">
        <v>46071</v>
      </c>
      <c r="C19" s="3" t="s">
        <v>159</v>
      </c>
      <c r="D19" s="0" t="n">
        <v>77</v>
      </c>
      <c r="E19" s="0" t="n">
        <v>1910.83</v>
      </c>
      <c r="F19" s="6" t="n">
        <v>46070</v>
      </c>
      <c r="G19" s="3" t="s">
        <v>163</v>
      </c>
      <c r="H19" s="6" t="n">
        <v>46071</v>
      </c>
      <c r="I19" s="3" t="s">
        <v>164</v>
      </c>
      <c r="J19" s="0" t="n">
        <v>2.9</v>
      </c>
      <c r="K19" s="0" t="n">
        <v>2</v>
      </c>
      <c r="L19" s="4" t="n">
        <f aca="false">E19*J19*K19</f>
        <v>11082.814</v>
      </c>
      <c r="M19" s="4" t="n">
        <f aca="false">L19*1.18</f>
        <v>13077.72052</v>
      </c>
      <c r="N19" s="3" t="s">
        <v>36</v>
      </c>
    </row>
    <row r="20" customFormat="false" ht="15" hidden="false" customHeight="false" outlineLevel="0" collapsed="false">
      <c r="A20" s="0" t="s">
        <v>26</v>
      </c>
      <c r="B20" s="6" t="n">
        <v>46072</v>
      </c>
      <c r="C20" s="3" t="s">
        <v>171</v>
      </c>
      <c r="D20" s="0" t="n">
        <v>76</v>
      </c>
      <c r="E20" s="0" t="n">
        <v>574.3</v>
      </c>
      <c r="F20" s="6" t="n">
        <v>46071</v>
      </c>
      <c r="G20" s="3" t="s">
        <v>175</v>
      </c>
      <c r="H20" s="6" t="n">
        <v>46072</v>
      </c>
      <c r="I20" s="3" t="s">
        <v>176</v>
      </c>
      <c r="J20" s="0" t="n">
        <v>2.9</v>
      </c>
      <c r="K20" s="0" t="n">
        <v>1</v>
      </c>
      <c r="L20" s="4" t="n">
        <f aca="false">E20*J20*K20</f>
        <v>1665.47</v>
      </c>
      <c r="M20" s="4" t="n">
        <f aca="false">L20*1.18</f>
        <v>1965.2546</v>
      </c>
      <c r="N20" s="3" t="s">
        <v>36</v>
      </c>
    </row>
    <row r="21" customFormat="false" ht="15" hidden="false" customHeight="false" outlineLevel="0" collapsed="false">
      <c r="A21" s="0" t="s">
        <v>53</v>
      </c>
      <c r="B21" s="6" t="n">
        <v>46072</v>
      </c>
      <c r="C21" s="3" t="s">
        <v>178</v>
      </c>
      <c r="D21" s="0" t="n">
        <v>36</v>
      </c>
      <c r="E21" s="0" t="n">
        <v>2936.42</v>
      </c>
      <c r="F21" s="6" t="n">
        <v>46072</v>
      </c>
      <c r="G21" s="3" t="s">
        <v>182</v>
      </c>
      <c r="H21" s="6" t="n">
        <v>46072</v>
      </c>
      <c r="I21" s="3" t="s">
        <v>183</v>
      </c>
      <c r="J21" s="0" t="n">
        <v>2.9</v>
      </c>
      <c r="K21" s="0" t="n">
        <v>3</v>
      </c>
      <c r="L21" s="4" t="n">
        <f aca="false">E21*J21*K21</f>
        <v>25546.854</v>
      </c>
      <c r="M21" s="4" t="n">
        <f aca="false">L21*1.18</f>
        <v>30145.28772</v>
      </c>
      <c r="N21" s="3" t="s">
        <v>36</v>
      </c>
    </row>
    <row r="22" customFormat="false" ht="15" hidden="false" customHeight="false" outlineLevel="0" collapsed="false">
      <c r="A22" s="0" t="s">
        <v>77</v>
      </c>
      <c r="B22" s="6" t="n">
        <v>46072</v>
      </c>
      <c r="C22" s="3" t="s">
        <v>184</v>
      </c>
      <c r="D22" s="0" t="n">
        <v>182</v>
      </c>
      <c r="E22" s="0" t="n">
        <v>1567.85</v>
      </c>
      <c r="F22" s="6" t="n">
        <v>46070</v>
      </c>
      <c r="G22" s="3" t="s">
        <v>187</v>
      </c>
      <c r="H22" s="6" t="n">
        <v>46072</v>
      </c>
      <c r="I22" s="3" t="s">
        <v>188</v>
      </c>
      <c r="J22" s="0" t="n">
        <v>2.4</v>
      </c>
      <c r="K22" s="0" t="n">
        <v>3</v>
      </c>
      <c r="L22" s="4" t="n">
        <f aca="false">E22*J22*K22</f>
        <v>11288.52</v>
      </c>
      <c r="M22" s="4" t="n">
        <f aca="false">L22*1.18</f>
        <v>13320.4536</v>
      </c>
      <c r="N22" s="3" t="s">
        <v>139</v>
      </c>
    </row>
    <row r="23" customFormat="false" ht="15" hidden="false" customHeight="false" outlineLevel="0" collapsed="false">
      <c r="A23" s="0" t="s">
        <v>53</v>
      </c>
      <c r="B23" s="6" t="n">
        <v>46073</v>
      </c>
      <c r="C23" s="3" t="s">
        <v>200</v>
      </c>
      <c r="D23" s="0" t="n">
        <v>62</v>
      </c>
      <c r="E23" s="0" t="n">
        <v>2983.55</v>
      </c>
      <c r="F23" s="6" t="n">
        <v>46072</v>
      </c>
      <c r="G23" s="3" t="s">
        <v>202</v>
      </c>
      <c r="H23" s="6" t="n">
        <v>46073</v>
      </c>
      <c r="I23" s="3" t="s">
        <v>204</v>
      </c>
      <c r="J23" s="0" t="n">
        <v>2.4</v>
      </c>
      <c r="K23" s="0" t="n">
        <v>2</v>
      </c>
      <c r="L23" s="4" t="n">
        <f aca="false">E23*J23*K23</f>
        <v>14321.04</v>
      </c>
      <c r="M23" s="4" t="n">
        <f aca="false">L23*1.18</f>
        <v>16898.8272</v>
      </c>
      <c r="N23" s="3" t="s">
        <v>139</v>
      </c>
    </row>
    <row r="24" customFormat="false" ht="15" hidden="false" customHeight="false" outlineLevel="0" collapsed="false">
      <c r="A24" s="0" t="s">
        <v>77</v>
      </c>
      <c r="B24" s="6" t="n">
        <v>46073</v>
      </c>
      <c r="C24" s="3" t="s">
        <v>206</v>
      </c>
      <c r="D24" s="0" t="n">
        <v>109</v>
      </c>
      <c r="E24" s="0" t="n">
        <v>1106.72</v>
      </c>
      <c r="F24" s="6" t="n">
        <v>46071</v>
      </c>
      <c r="G24" s="3" t="s">
        <v>210</v>
      </c>
      <c r="H24" s="6" t="n">
        <v>46073</v>
      </c>
      <c r="I24" s="3" t="s">
        <v>211</v>
      </c>
      <c r="J24" s="0" t="n">
        <v>2.9</v>
      </c>
      <c r="K24" s="0" t="n">
        <v>1</v>
      </c>
      <c r="L24" s="4" t="n">
        <f aca="false">E24*J24*K24</f>
        <v>3209.488</v>
      </c>
      <c r="M24" s="4" t="n">
        <f aca="false">L24*1.18</f>
        <v>3787.19584</v>
      </c>
      <c r="N24" s="3" t="s">
        <v>36</v>
      </c>
    </row>
    <row r="25" customFormat="false" ht="15" hidden="false" customHeight="false" outlineLevel="0" collapsed="false">
      <c r="A25" s="0" t="s">
        <v>26</v>
      </c>
      <c r="B25" s="6" t="n">
        <v>46074</v>
      </c>
      <c r="C25" s="3" t="s">
        <v>213</v>
      </c>
      <c r="D25" s="0" t="n">
        <v>180</v>
      </c>
      <c r="E25" s="0" t="n">
        <v>405.85</v>
      </c>
      <c r="F25" s="6" t="n">
        <v>46074</v>
      </c>
      <c r="G25" s="3" t="s">
        <v>217</v>
      </c>
      <c r="H25" s="6" t="n">
        <v>46074</v>
      </c>
      <c r="I25" s="3" t="s">
        <v>218</v>
      </c>
      <c r="J25" s="0" t="n">
        <v>4.9</v>
      </c>
      <c r="K25" s="0" t="n">
        <v>4</v>
      </c>
      <c r="L25" s="4" t="n">
        <f aca="false">E25*J25*K25</f>
        <v>7954.66</v>
      </c>
      <c r="M25" s="4" t="n">
        <f aca="false">L25*1.18</f>
        <v>9386.4988</v>
      </c>
      <c r="N25" s="3" t="s">
        <v>101</v>
      </c>
    </row>
    <row r="26" customFormat="false" ht="15" hidden="false" customHeight="false" outlineLevel="0" collapsed="false">
      <c r="A26" s="0" t="s">
        <v>26</v>
      </c>
      <c r="B26" s="6" t="n">
        <v>46074</v>
      </c>
      <c r="C26" s="3" t="s">
        <v>219</v>
      </c>
      <c r="D26" s="0" t="n">
        <v>98</v>
      </c>
      <c r="E26" s="0" t="n">
        <v>1348.61</v>
      </c>
      <c r="F26" s="6" t="n">
        <v>46073</v>
      </c>
      <c r="G26" s="3" t="s">
        <v>223</v>
      </c>
      <c r="H26" s="6" t="n">
        <v>46074</v>
      </c>
      <c r="I26" s="3" t="s">
        <v>224</v>
      </c>
      <c r="J26" s="0" t="n">
        <v>2.9</v>
      </c>
      <c r="K26" s="0" t="n">
        <v>1</v>
      </c>
      <c r="L26" s="4" t="n">
        <f aca="false">E26*J26*K26</f>
        <v>3910.969</v>
      </c>
      <c r="M26" s="4" t="n">
        <f aca="false">L26*1.18</f>
        <v>4614.94342</v>
      </c>
      <c r="N26" s="3" t="s">
        <v>36</v>
      </c>
    </row>
    <row r="27" customFormat="false" ht="15" hidden="false" customHeight="false" outlineLevel="0" collapsed="false">
      <c r="A27" s="0" t="s">
        <v>53</v>
      </c>
      <c r="B27" s="6" t="n">
        <v>46074</v>
      </c>
      <c r="C27" s="3" t="s">
        <v>225</v>
      </c>
      <c r="D27" s="0" t="n">
        <v>132</v>
      </c>
      <c r="E27" s="0" t="n">
        <v>575.4</v>
      </c>
      <c r="F27" s="6" t="n">
        <v>46072</v>
      </c>
      <c r="G27" s="3" t="s">
        <v>228</v>
      </c>
      <c r="H27" s="6" t="n">
        <v>46074</v>
      </c>
      <c r="I27" s="3" t="s">
        <v>229</v>
      </c>
      <c r="J27" s="0" t="n">
        <v>2.9</v>
      </c>
      <c r="K27" s="0" t="n">
        <v>1</v>
      </c>
      <c r="L27" s="4" t="n">
        <f aca="false">E27*J27*K27</f>
        <v>1668.66</v>
      </c>
      <c r="M27" s="4" t="n">
        <f aca="false">L27*1.18</f>
        <v>1969.0188</v>
      </c>
      <c r="N27" s="3" t="s">
        <v>36</v>
      </c>
    </row>
    <row r="28" customFormat="false" ht="15" hidden="false" customHeight="false" outlineLevel="0" collapsed="false">
      <c r="A28" s="0" t="s">
        <v>26</v>
      </c>
      <c r="B28" s="6" t="n">
        <v>46075</v>
      </c>
      <c r="C28" s="3" t="s">
        <v>230</v>
      </c>
      <c r="D28" s="0" t="n">
        <v>73</v>
      </c>
      <c r="E28" s="0" t="n">
        <v>826.66</v>
      </c>
      <c r="F28" s="6" t="n">
        <v>46074</v>
      </c>
      <c r="G28" s="3" t="s">
        <v>234</v>
      </c>
      <c r="H28" s="6" t="n">
        <v>46075</v>
      </c>
      <c r="I28" s="3" t="s">
        <v>99</v>
      </c>
      <c r="J28" s="0" t="n">
        <v>2.9</v>
      </c>
      <c r="K28" s="0" t="n">
        <v>2</v>
      </c>
      <c r="L28" s="4" t="n">
        <f aca="false">E28*J28*K28</f>
        <v>4794.628</v>
      </c>
      <c r="M28" s="4" t="n">
        <f aca="false">L28*1.18</f>
        <v>5657.66104</v>
      </c>
      <c r="N28" s="3" t="s">
        <v>36</v>
      </c>
    </row>
    <row r="29" customFormat="false" ht="15" hidden="false" customHeight="false" outlineLevel="0" collapsed="false">
      <c r="A29" s="0" t="s">
        <v>26</v>
      </c>
      <c r="B29" s="6" t="n">
        <v>46075</v>
      </c>
      <c r="C29" s="3" t="s">
        <v>235</v>
      </c>
      <c r="D29" s="0" t="n">
        <v>133</v>
      </c>
      <c r="E29" s="0" t="n">
        <v>1230.84</v>
      </c>
      <c r="F29" s="6" t="n">
        <v>46073</v>
      </c>
      <c r="G29" s="3" t="s">
        <v>239</v>
      </c>
      <c r="H29" s="6" t="n">
        <v>46075</v>
      </c>
      <c r="I29" s="3" t="s">
        <v>65</v>
      </c>
      <c r="J29" s="0" t="n">
        <v>2.9</v>
      </c>
      <c r="K29" s="0" t="n">
        <v>3</v>
      </c>
      <c r="L29" s="4" t="n">
        <f aca="false">E29*J29*K29</f>
        <v>10708.308</v>
      </c>
      <c r="M29" s="4" t="n">
        <f aca="false">L29*1.18</f>
        <v>12635.80344</v>
      </c>
      <c r="N29" s="3" t="s">
        <v>36</v>
      </c>
    </row>
    <row r="30" customFormat="false" ht="15" hidden="false" customHeight="false" outlineLevel="0" collapsed="false">
      <c r="A30" s="0" t="s">
        <v>26</v>
      </c>
      <c r="B30" s="6" t="n">
        <v>46075</v>
      </c>
      <c r="C30" s="3" t="s">
        <v>246</v>
      </c>
      <c r="D30" s="0" t="n">
        <v>87</v>
      </c>
      <c r="E30" s="0" t="n">
        <v>2825.51</v>
      </c>
      <c r="F30" s="6" t="n">
        <v>46073</v>
      </c>
      <c r="G30" s="3" t="s">
        <v>250</v>
      </c>
      <c r="H30" s="6" t="n">
        <v>46075</v>
      </c>
      <c r="I30" s="3" t="s">
        <v>251</v>
      </c>
      <c r="J30" s="0" t="n">
        <v>2.9</v>
      </c>
      <c r="K30" s="0" t="n">
        <v>3</v>
      </c>
      <c r="L30" s="4" t="n">
        <f aca="false">E30*J30*K30</f>
        <v>24581.937</v>
      </c>
      <c r="M30" s="4" t="n">
        <f aca="false">L30*1.18</f>
        <v>29006.68566</v>
      </c>
      <c r="N30" s="3" t="s">
        <v>36</v>
      </c>
    </row>
    <row r="31" customFormat="false" ht="15" hidden="false" customHeight="false" outlineLevel="0" collapsed="false">
      <c r="A31" s="0" t="s">
        <v>53</v>
      </c>
      <c r="B31" s="6" t="n">
        <v>46075</v>
      </c>
      <c r="C31" s="3" t="s">
        <v>253</v>
      </c>
      <c r="D31" s="0" t="n">
        <v>141</v>
      </c>
      <c r="E31" s="0" t="n">
        <v>3816.89</v>
      </c>
      <c r="F31" s="6" t="n">
        <v>46075</v>
      </c>
      <c r="G31" s="3" t="s">
        <v>257</v>
      </c>
      <c r="H31" s="6" t="n">
        <v>46075</v>
      </c>
      <c r="I31" s="3" t="s">
        <v>258</v>
      </c>
      <c r="J31" s="0" t="n">
        <v>2.9</v>
      </c>
      <c r="K31" s="0" t="n">
        <v>2</v>
      </c>
      <c r="L31" s="4" t="n">
        <f aca="false">E31*J31*K31</f>
        <v>22137.962</v>
      </c>
      <c r="M31" s="4" t="n">
        <f aca="false">L31*1.18</f>
        <v>26122.79516</v>
      </c>
      <c r="N31" s="3" t="s">
        <v>36</v>
      </c>
    </row>
    <row r="32" customFormat="false" ht="15" hidden="false" customHeight="false" outlineLevel="0" collapsed="false">
      <c r="A32" s="0" t="s">
        <v>53</v>
      </c>
      <c r="B32" s="6" t="n">
        <v>46075</v>
      </c>
      <c r="C32" s="3" t="s">
        <v>259</v>
      </c>
      <c r="D32" s="0" t="n">
        <v>135</v>
      </c>
      <c r="E32" s="0" t="n">
        <v>1721.2</v>
      </c>
      <c r="F32" s="6" t="n">
        <v>46073</v>
      </c>
      <c r="G32" s="3" t="s">
        <v>263</v>
      </c>
      <c r="H32" s="6" t="n">
        <v>46075</v>
      </c>
      <c r="I32" s="3" t="s">
        <v>264</v>
      </c>
      <c r="J32" s="0" t="n">
        <v>4.9</v>
      </c>
      <c r="K32" s="0" t="n">
        <v>1</v>
      </c>
      <c r="L32" s="4" t="n">
        <f aca="false">E32*J32*K32</f>
        <v>8433.88</v>
      </c>
      <c r="M32" s="4" t="n">
        <f aca="false">L32*1.18</f>
        <v>9951.9784</v>
      </c>
      <c r="N32" s="3" t="s">
        <v>265</v>
      </c>
    </row>
    <row r="33" customFormat="false" ht="15" hidden="false" customHeight="false" outlineLevel="0" collapsed="false">
      <c r="A33" s="0" t="s">
        <v>53</v>
      </c>
      <c r="B33" s="6" t="n">
        <v>46075</v>
      </c>
      <c r="C33" s="3" t="s">
        <v>266</v>
      </c>
      <c r="D33" s="0" t="n">
        <v>160</v>
      </c>
      <c r="E33" s="0" t="n">
        <v>2638.02</v>
      </c>
      <c r="F33" s="6" t="n">
        <v>46072</v>
      </c>
      <c r="G33" s="3" t="s">
        <v>269</v>
      </c>
      <c r="H33" s="6" t="n">
        <v>46075</v>
      </c>
      <c r="I33" s="3" t="s">
        <v>197</v>
      </c>
      <c r="J33" s="0" t="n">
        <v>2.9</v>
      </c>
      <c r="K33" s="0" t="n">
        <v>1</v>
      </c>
      <c r="L33" s="4" t="n">
        <f aca="false">E33*J33*K33</f>
        <v>7650.258</v>
      </c>
      <c r="M33" s="4" t="n">
        <f aca="false">L33*1.18</f>
        <v>9027.30444</v>
      </c>
      <c r="N33" s="3" t="s">
        <v>36</v>
      </c>
    </row>
    <row r="34" customFormat="false" ht="15" hidden="false" customHeight="false" outlineLevel="0" collapsed="false">
      <c r="A34" s="0" t="s">
        <v>53</v>
      </c>
      <c r="B34" s="6" t="n">
        <v>46075</v>
      </c>
      <c r="C34" s="3" t="s">
        <v>270</v>
      </c>
      <c r="D34" s="0" t="n">
        <v>37</v>
      </c>
      <c r="E34" s="0" t="n">
        <v>3651.34</v>
      </c>
      <c r="F34" s="6" t="n">
        <v>46073</v>
      </c>
      <c r="G34" s="3" t="s">
        <v>274</v>
      </c>
      <c r="H34" s="6" t="n">
        <v>46075</v>
      </c>
      <c r="I34" s="3" t="s">
        <v>275</v>
      </c>
      <c r="J34" s="0" t="n">
        <v>2.9</v>
      </c>
      <c r="K34" s="0" t="n">
        <v>3</v>
      </c>
      <c r="L34" s="4" t="n">
        <f aca="false">E34*J34*K34</f>
        <v>31766.658</v>
      </c>
      <c r="M34" s="4" t="n">
        <f aca="false">L34*1.18</f>
        <v>37484.65644</v>
      </c>
      <c r="N34" s="3" t="s">
        <v>36</v>
      </c>
    </row>
    <row r="35" customFormat="false" ht="15" hidden="false" customHeight="false" outlineLevel="0" collapsed="false">
      <c r="A35" s="0" t="s">
        <v>77</v>
      </c>
      <c r="B35" s="6" t="n">
        <v>46075</v>
      </c>
      <c r="C35" s="3" t="s">
        <v>276</v>
      </c>
      <c r="D35" s="0" t="n">
        <v>90</v>
      </c>
      <c r="E35" s="0" t="n">
        <v>176.75</v>
      </c>
      <c r="F35" s="6" t="n">
        <v>46072</v>
      </c>
      <c r="G35" s="3" t="s">
        <v>169</v>
      </c>
      <c r="H35" s="6" t="n">
        <v>46075</v>
      </c>
      <c r="I35" s="3" t="s">
        <v>280</v>
      </c>
      <c r="J35" s="0" t="n">
        <v>2.9</v>
      </c>
      <c r="K35" s="0" t="n">
        <v>3</v>
      </c>
      <c r="L35" s="4" t="n">
        <f aca="false">E35*J35*K35</f>
        <v>1537.725</v>
      </c>
      <c r="M35" s="4" t="n">
        <f aca="false">L35*1.18</f>
        <v>1814.5155</v>
      </c>
      <c r="N35" s="3" t="s">
        <v>36</v>
      </c>
    </row>
    <row r="36" customFormat="false" ht="15" hidden="false" customHeight="false" outlineLevel="0" collapsed="false">
      <c r="A36" s="0" t="s">
        <v>77</v>
      </c>
      <c r="B36" s="6" t="n">
        <v>46075</v>
      </c>
      <c r="C36" s="3" t="s">
        <v>282</v>
      </c>
      <c r="D36" s="0" t="n">
        <v>153</v>
      </c>
      <c r="E36" s="0" t="n">
        <v>3347.57</v>
      </c>
      <c r="F36" s="6" t="n">
        <v>46074</v>
      </c>
      <c r="G36" s="3" t="s">
        <v>286</v>
      </c>
      <c r="H36" s="6" t="n">
        <v>46075</v>
      </c>
      <c r="I36" s="3" t="s">
        <v>287</v>
      </c>
      <c r="J36" s="0" t="n">
        <v>2.9</v>
      </c>
      <c r="K36" s="0" t="n">
        <v>3</v>
      </c>
      <c r="L36" s="4" t="n">
        <f aca="false">E36*J36*K36</f>
        <v>29123.859</v>
      </c>
      <c r="M36" s="4" t="n">
        <f aca="false">L36*1.18</f>
        <v>34366.15362</v>
      </c>
      <c r="N36" s="3" t="s">
        <v>36</v>
      </c>
    </row>
    <row r="37" customFormat="false" ht="15" hidden="false" customHeight="false" outlineLevel="0" collapsed="false">
      <c r="A37" s="0" t="s">
        <v>26</v>
      </c>
      <c r="B37" s="6" t="n">
        <v>46076</v>
      </c>
      <c r="C37" s="3" t="s">
        <v>288</v>
      </c>
      <c r="D37" s="0" t="n">
        <v>40</v>
      </c>
      <c r="E37" s="0" t="n">
        <v>3009.42</v>
      </c>
      <c r="F37" s="6" t="n">
        <v>46074</v>
      </c>
      <c r="G37" s="3" t="s">
        <v>292</v>
      </c>
      <c r="H37" s="6" t="n">
        <v>46076</v>
      </c>
      <c r="I37" s="3" t="s">
        <v>293</v>
      </c>
      <c r="J37" s="0" t="n">
        <v>2.9</v>
      </c>
      <c r="K37" s="0" t="n">
        <v>3</v>
      </c>
      <c r="L37" s="4" t="n">
        <f aca="false">E37*J37*K37</f>
        <v>26181.954</v>
      </c>
      <c r="M37" s="4" t="n">
        <f aca="false">L37*1.18</f>
        <v>30894.70572</v>
      </c>
      <c r="N37" s="3" t="s">
        <v>36</v>
      </c>
    </row>
    <row r="38" customFormat="false" ht="15" hidden="false" customHeight="false" outlineLevel="0" collapsed="false">
      <c r="A38" s="0" t="s">
        <v>53</v>
      </c>
      <c r="B38" s="6" t="n">
        <v>46076</v>
      </c>
      <c r="C38" s="3" t="s">
        <v>294</v>
      </c>
      <c r="D38" s="0" t="n">
        <v>45</v>
      </c>
      <c r="E38" s="0" t="n">
        <v>1558.8</v>
      </c>
      <c r="F38" s="6" t="n">
        <v>46076</v>
      </c>
      <c r="G38" s="3" t="s">
        <v>298</v>
      </c>
      <c r="H38" s="6" t="n">
        <v>46076</v>
      </c>
      <c r="I38" s="3" t="s">
        <v>299</v>
      </c>
      <c r="J38" s="0" t="n">
        <v>2.9</v>
      </c>
      <c r="K38" s="0" t="n">
        <v>2</v>
      </c>
      <c r="L38" s="4" t="n">
        <f aca="false">E38*J38*K38</f>
        <v>9041.04</v>
      </c>
      <c r="M38" s="4" t="n">
        <f aca="false">L38*1.18</f>
        <v>10668.4272</v>
      </c>
      <c r="N38" s="3" t="s">
        <v>36</v>
      </c>
    </row>
    <row r="39" customFormat="false" ht="15" hidden="false" customHeight="false" outlineLevel="0" collapsed="false">
      <c r="A39" s="0" t="s">
        <v>77</v>
      </c>
      <c r="B39" s="6" t="n">
        <v>46076</v>
      </c>
      <c r="C39" s="3" t="s">
        <v>300</v>
      </c>
      <c r="D39" s="0" t="n">
        <v>50</v>
      </c>
      <c r="E39" s="0" t="n">
        <v>277.91</v>
      </c>
      <c r="F39" s="6" t="n">
        <v>46075</v>
      </c>
      <c r="G39" s="3" t="s">
        <v>303</v>
      </c>
      <c r="H39" s="6" t="n">
        <v>46076</v>
      </c>
      <c r="I39" s="3" t="s">
        <v>304</v>
      </c>
      <c r="J39" s="0" t="n">
        <v>2.9</v>
      </c>
      <c r="K39" s="0" t="n">
        <v>3</v>
      </c>
      <c r="L39" s="4" t="n">
        <f aca="false">E39*J39*K39</f>
        <v>2417.817</v>
      </c>
      <c r="M39" s="4" t="n">
        <f aca="false">L39*1.18</f>
        <v>2853.02406</v>
      </c>
      <c r="N39" s="3" t="s">
        <v>45</v>
      </c>
    </row>
    <row r="40" customFormat="false" ht="15" hidden="false" customHeight="false" outlineLevel="0" collapsed="false">
      <c r="A40" s="0" t="s">
        <v>77</v>
      </c>
      <c r="B40" s="6" t="n">
        <v>46076</v>
      </c>
      <c r="C40" s="3" t="s">
        <v>305</v>
      </c>
      <c r="D40" s="0" t="n">
        <v>171</v>
      </c>
      <c r="E40" s="0" t="n">
        <v>3759.5</v>
      </c>
      <c r="F40" s="6" t="n">
        <v>46076</v>
      </c>
      <c r="G40" s="3" t="s">
        <v>309</v>
      </c>
      <c r="H40" s="6" t="n">
        <v>46076</v>
      </c>
      <c r="I40" s="3" t="s">
        <v>74</v>
      </c>
      <c r="J40" s="0" t="n">
        <v>2.9</v>
      </c>
      <c r="K40" s="0" t="n">
        <v>1</v>
      </c>
      <c r="L40" s="4" t="n">
        <f aca="false">E40*J40*K40</f>
        <v>10902.55</v>
      </c>
      <c r="M40" s="4" t="n">
        <f aca="false">L40*1.18</f>
        <v>12865.009</v>
      </c>
      <c r="N40" s="3" t="s">
        <v>36</v>
      </c>
    </row>
    <row r="41" customFormat="false" ht="15" hidden="false" customHeight="false" outlineLevel="0" collapsed="false">
      <c r="A41" s="0" t="s">
        <v>77</v>
      </c>
      <c r="B41" s="6" t="n">
        <v>46076</v>
      </c>
      <c r="C41" s="3" t="s">
        <v>316</v>
      </c>
      <c r="D41" s="0" t="n">
        <v>116</v>
      </c>
      <c r="E41" s="0" t="n">
        <v>1533.57</v>
      </c>
      <c r="F41" s="6" t="n">
        <v>46073</v>
      </c>
      <c r="G41" s="3" t="s">
        <v>320</v>
      </c>
      <c r="H41" s="6" t="n">
        <v>46076</v>
      </c>
      <c r="I41" s="3" t="s">
        <v>321</v>
      </c>
      <c r="J41" s="0" t="n">
        <v>2.9</v>
      </c>
      <c r="K41" s="0" t="n">
        <v>2</v>
      </c>
      <c r="L41" s="4" t="n">
        <f aca="false">E41*J41*K41</f>
        <v>8894.706</v>
      </c>
      <c r="M41" s="4" t="n">
        <f aca="false">L41*1.18</f>
        <v>10495.75308</v>
      </c>
      <c r="N41" s="3" t="s">
        <v>36</v>
      </c>
    </row>
    <row r="42" customFormat="false" ht="15" hidden="false" customHeight="false" outlineLevel="0" collapsed="false">
      <c r="A42" s="0" t="s">
        <v>26</v>
      </c>
      <c r="B42" s="6" t="n">
        <v>46077</v>
      </c>
      <c r="C42" s="3" t="s">
        <v>322</v>
      </c>
      <c r="D42" s="0" t="n">
        <v>193</v>
      </c>
      <c r="E42" s="0" t="n">
        <v>906.07</v>
      </c>
      <c r="F42" s="6" t="n">
        <v>46074</v>
      </c>
      <c r="G42" s="3" t="s">
        <v>157</v>
      </c>
      <c r="H42" s="6" t="n">
        <v>46077</v>
      </c>
      <c r="I42" s="3" t="s">
        <v>296</v>
      </c>
      <c r="J42" s="0" t="n">
        <v>2.9</v>
      </c>
      <c r="K42" s="0" t="n">
        <v>1</v>
      </c>
      <c r="L42" s="4" t="n">
        <f aca="false">E42*J42*K42</f>
        <v>2627.603</v>
      </c>
      <c r="M42" s="4" t="n">
        <f aca="false">L42*1.18</f>
        <v>3100.57154</v>
      </c>
      <c r="N42" s="3" t="s">
        <v>36</v>
      </c>
    </row>
    <row r="43" customFormat="false" ht="15" hidden="false" customHeight="false" outlineLevel="0" collapsed="false">
      <c r="A43" s="0" t="s">
        <v>53</v>
      </c>
      <c r="B43" s="6" t="n">
        <v>46077</v>
      </c>
      <c r="C43" s="3" t="s">
        <v>333</v>
      </c>
      <c r="D43" s="0" t="n">
        <v>193</v>
      </c>
      <c r="E43" s="0" t="n">
        <v>262.95</v>
      </c>
      <c r="F43" s="6" t="n">
        <v>46075</v>
      </c>
      <c r="G43" s="3" t="s">
        <v>337</v>
      </c>
      <c r="H43" s="6" t="n">
        <v>46077</v>
      </c>
      <c r="I43" s="3" t="s">
        <v>338</v>
      </c>
      <c r="J43" s="0" t="n">
        <v>2.9</v>
      </c>
      <c r="K43" s="0" t="n">
        <v>1</v>
      </c>
      <c r="L43" s="4" t="n">
        <f aca="false">E43*J43*K43</f>
        <v>762.555</v>
      </c>
      <c r="M43" s="4" t="n">
        <f aca="false">L43*1.18</f>
        <v>899.8149</v>
      </c>
      <c r="N43" s="3" t="s">
        <v>36</v>
      </c>
    </row>
    <row r="44" customFormat="false" ht="15" hidden="false" customHeight="false" outlineLevel="0" collapsed="false">
      <c r="A44" s="0" t="s">
        <v>77</v>
      </c>
      <c r="B44" s="6" t="n">
        <v>46077</v>
      </c>
      <c r="C44" s="3" t="s">
        <v>339</v>
      </c>
      <c r="D44" s="0" t="n">
        <v>203</v>
      </c>
      <c r="E44" s="0" t="n">
        <v>573.97</v>
      </c>
      <c r="F44" s="6" t="n">
        <v>46075</v>
      </c>
      <c r="G44" s="3" t="s">
        <v>343</v>
      </c>
      <c r="H44" s="6" t="n">
        <v>46077</v>
      </c>
      <c r="I44" s="3" t="s">
        <v>344</v>
      </c>
      <c r="J44" s="0" t="n">
        <v>2.9</v>
      </c>
      <c r="K44" s="0" t="n">
        <v>3</v>
      </c>
      <c r="L44" s="4" t="n">
        <f aca="false">E44*J44*K44</f>
        <v>4993.539</v>
      </c>
      <c r="M44" s="4" t="n">
        <f aca="false">L44*1.18</f>
        <v>5892.37602</v>
      </c>
      <c r="N44" s="3" t="s">
        <v>36</v>
      </c>
    </row>
    <row r="45" customFormat="false" ht="15" hidden="false" customHeight="false" outlineLevel="0" collapsed="false">
      <c r="A45" s="0" t="s">
        <v>77</v>
      </c>
      <c r="B45" s="6" t="n">
        <v>46077</v>
      </c>
      <c r="C45" s="3" t="s">
        <v>345</v>
      </c>
      <c r="D45" s="0" t="n">
        <v>36</v>
      </c>
      <c r="E45" s="0" t="n">
        <v>2018.79</v>
      </c>
      <c r="F45" s="6" t="n">
        <v>46076</v>
      </c>
      <c r="G45" s="3" t="s">
        <v>349</v>
      </c>
      <c r="H45" s="6" t="n">
        <v>46077</v>
      </c>
      <c r="I45" s="3" t="s">
        <v>350</v>
      </c>
      <c r="J45" s="0" t="n">
        <v>2.9</v>
      </c>
      <c r="K45" s="0" t="n">
        <v>2</v>
      </c>
      <c r="L45" s="4" t="n">
        <f aca="false">E45*J45*K45</f>
        <v>11708.982</v>
      </c>
      <c r="M45" s="4" t="n">
        <f aca="false">L45*1.18</f>
        <v>13816.59876</v>
      </c>
      <c r="N45" s="3" t="s">
        <v>36</v>
      </c>
    </row>
    <row r="46" customFormat="false" ht="15" hidden="false" customHeight="false" outlineLevel="0" collapsed="false">
      <c r="A46" s="0" t="s">
        <v>26</v>
      </c>
      <c r="B46" s="6" t="n">
        <v>46078</v>
      </c>
      <c r="C46" s="3" t="s">
        <v>351</v>
      </c>
      <c r="D46" s="0" t="n">
        <v>208</v>
      </c>
      <c r="E46" s="0" t="n">
        <v>2690.83</v>
      </c>
      <c r="F46" s="6" t="n">
        <v>46075</v>
      </c>
      <c r="G46" s="3" t="s">
        <v>355</v>
      </c>
      <c r="H46" s="6" t="n">
        <v>46078</v>
      </c>
      <c r="I46" s="3" t="s">
        <v>34</v>
      </c>
      <c r="J46" s="0" t="n">
        <v>2.9</v>
      </c>
      <c r="K46" s="0" t="n">
        <v>1</v>
      </c>
      <c r="L46" s="4" t="n">
        <f aca="false">E46*J46*K46</f>
        <v>7803.407</v>
      </c>
      <c r="M46" s="4" t="n">
        <f aca="false">L46*1.18</f>
        <v>9208.02026</v>
      </c>
      <c r="N46" s="3" t="s">
        <v>36</v>
      </c>
    </row>
    <row r="47" customFormat="false" ht="15" hidden="false" customHeight="false" outlineLevel="0" collapsed="false">
      <c r="A47" s="0" t="s">
        <v>26</v>
      </c>
      <c r="B47" s="6" t="n">
        <v>46078</v>
      </c>
      <c r="C47" s="3" t="s">
        <v>356</v>
      </c>
      <c r="D47" s="0" t="n">
        <v>161</v>
      </c>
      <c r="E47" s="0" t="n">
        <v>2699.87</v>
      </c>
      <c r="F47" s="6" t="n">
        <v>46076</v>
      </c>
      <c r="G47" s="3" t="s">
        <v>360</v>
      </c>
      <c r="H47" s="6" t="n">
        <v>46078</v>
      </c>
      <c r="I47" s="3" t="s">
        <v>361</v>
      </c>
      <c r="J47" s="0" t="n">
        <v>2.9</v>
      </c>
      <c r="K47" s="0" t="n">
        <v>1</v>
      </c>
      <c r="L47" s="4" t="n">
        <f aca="false">E47*J47*K47</f>
        <v>7829.623</v>
      </c>
      <c r="M47" s="4" t="n">
        <f aca="false">L47*1.18</f>
        <v>9238.95514</v>
      </c>
      <c r="N47" s="3" t="s">
        <v>36</v>
      </c>
    </row>
    <row r="48" customFormat="false" ht="15" hidden="false" customHeight="false" outlineLevel="0" collapsed="false">
      <c r="A48" s="0" t="s">
        <v>53</v>
      </c>
      <c r="B48" s="6" t="n">
        <v>46078</v>
      </c>
      <c r="C48" s="3" t="s">
        <v>362</v>
      </c>
      <c r="D48" s="0" t="n">
        <v>169</v>
      </c>
      <c r="E48" s="0" t="n">
        <v>1604.04</v>
      </c>
      <c r="F48" s="6" t="n">
        <v>46077</v>
      </c>
      <c r="G48" s="3" t="s">
        <v>366</v>
      </c>
      <c r="H48" s="6" t="n">
        <v>46078</v>
      </c>
      <c r="I48" s="3" t="s">
        <v>367</v>
      </c>
      <c r="J48" s="0" t="n">
        <v>2.9</v>
      </c>
      <c r="K48" s="0" t="n">
        <v>1</v>
      </c>
      <c r="L48" s="4" t="n">
        <f aca="false">E48*J48*K48</f>
        <v>4651.716</v>
      </c>
      <c r="M48" s="4" t="n">
        <f aca="false">L48*1.18</f>
        <v>5489.02488</v>
      </c>
      <c r="N48" s="3" t="s">
        <v>36</v>
      </c>
    </row>
    <row r="49" customFormat="false" ht="15" hidden="false" customHeight="false" outlineLevel="0" collapsed="false">
      <c r="A49" s="0" t="s">
        <v>26</v>
      </c>
      <c r="B49" s="6" t="n">
        <v>46079</v>
      </c>
      <c r="C49" s="3" t="s">
        <v>368</v>
      </c>
      <c r="D49" s="0" t="n">
        <v>121</v>
      </c>
      <c r="E49" s="0" t="n">
        <v>1550.75</v>
      </c>
      <c r="F49" s="6" t="n">
        <v>46078</v>
      </c>
      <c r="G49" s="3" t="s">
        <v>372</v>
      </c>
      <c r="H49" s="6" t="n">
        <v>46079</v>
      </c>
      <c r="I49" s="3" t="s">
        <v>373</v>
      </c>
      <c r="J49" s="0" t="n">
        <v>2.4</v>
      </c>
      <c r="K49" s="0" t="n">
        <v>2</v>
      </c>
      <c r="L49" s="4" t="n">
        <f aca="false">E49*J49*K49</f>
        <v>7443.6</v>
      </c>
      <c r="M49" s="4" t="n">
        <f aca="false">L49*1.18</f>
        <v>8783.448</v>
      </c>
      <c r="N49" s="3" t="s">
        <v>139</v>
      </c>
    </row>
    <row r="50" customFormat="false" ht="15" hidden="false" customHeight="false" outlineLevel="0" collapsed="false">
      <c r="A50" s="0" t="s">
        <v>53</v>
      </c>
      <c r="B50" s="6" t="n">
        <v>46079</v>
      </c>
      <c r="C50" s="3" t="s">
        <v>374</v>
      </c>
      <c r="D50" s="0" t="n">
        <v>17</v>
      </c>
      <c r="E50" s="0" t="n">
        <v>868.12</v>
      </c>
      <c r="F50" s="6" t="n">
        <v>46077</v>
      </c>
      <c r="G50" s="3" t="s">
        <v>378</v>
      </c>
      <c r="H50" s="6" t="n">
        <v>46079</v>
      </c>
      <c r="I50" s="3" t="s">
        <v>379</v>
      </c>
      <c r="J50" s="0" t="n">
        <v>2.9</v>
      </c>
      <c r="K50" s="0" t="n">
        <v>3</v>
      </c>
      <c r="L50" s="4" t="n">
        <f aca="false">E50*J50*K50</f>
        <v>7552.644</v>
      </c>
      <c r="M50" s="4" t="n">
        <f aca="false">L50*1.18</f>
        <v>8912.11992</v>
      </c>
      <c r="N50" s="3" t="s">
        <v>45</v>
      </c>
    </row>
    <row r="51" customFormat="false" ht="15" hidden="false" customHeight="false" outlineLevel="0" collapsed="false">
      <c r="A51" s="0" t="s">
        <v>77</v>
      </c>
      <c r="B51" s="6" t="n">
        <v>46079</v>
      </c>
      <c r="C51" s="3" t="s">
        <v>380</v>
      </c>
      <c r="D51" s="0" t="n">
        <v>62</v>
      </c>
      <c r="E51" s="0" t="n">
        <v>444.87</v>
      </c>
      <c r="F51" s="6" t="n">
        <v>46079</v>
      </c>
      <c r="G51" s="3" t="s">
        <v>384</v>
      </c>
      <c r="H51" s="6" t="n">
        <v>46079</v>
      </c>
      <c r="I51" s="3" t="s">
        <v>296</v>
      </c>
      <c r="J51" s="0" t="n">
        <v>2.9</v>
      </c>
      <c r="K51" s="0" t="n">
        <v>1</v>
      </c>
      <c r="L51" s="4" t="n">
        <f aca="false">E51*J51*K51</f>
        <v>1290.123</v>
      </c>
      <c r="M51" s="4" t="n">
        <f aca="false">L51*1.18</f>
        <v>1522.34514</v>
      </c>
      <c r="N51" s="3" t="s">
        <v>36</v>
      </c>
    </row>
    <row r="52" customFormat="false" ht="15" hidden="false" customHeight="false" outlineLevel="0" collapsed="false">
      <c r="A52" s="0" t="s">
        <v>77</v>
      </c>
      <c r="B52" s="6" t="n">
        <v>46079</v>
      </c>
      <c r="C52" s="3" t="s">
        <v>385</v>
      </c>
      <c r="D52" s="0" t="n">
        <v>101</v>
      </c>
      <c r="E52" s="0" t="n">
        <v>1869.96</v>
      </c>
      <c r="F52" s="6" t="n">
        <v>46077</v>
      </c>
      <c r="G52" s="3" t="s">
        <v>389</v>
      </c>
      <c r="H52" s="6" t="n">
        <v>46079</v>
      </c>
      <c r="I52" s="3" t="s">
        <v>390</v>
      </c>
      <c r="J52" s="0" t="n">
        <v>2.4</v>
      </c>
      <c r="K52" s="0" t="n">
        <v>3</v>
      </c>
      <c r="L52" s="4" t="n">
        <f aca="false">E52*J52*K52</f>
        <v>13463.712</v>
      </c>
      <c r="M52" s="4" t="n">
        <f aca="false">L52*1.18</f>
        <v>15887.18016</v>
      </c>
      <c r="N52" s="3" t="s">
        <v>139</v>
      </c>
    </row>
    <row r="53" customFormat="false" ht="15" hidden="false" customHeight="false" outlineLevel="0" collapsed="false">
      <c r="A53" s="0" t="s">
        <v>77</v>
      </c>
      <c r="B53" s="6" t="n">
        <v>46079</v>
      </c>
      <c r="C53" s="3" t="s">
        <v>391</v>
      </c>
      <c r="D53" s="0" t="n">
        <v>175</v>
      </c>
      <c r="E53" s="0" t="n">
        <v>1861.33</v>
      </c>
      <c r="F53" s="6" t="n">
        <v>46077</v>
      </c>
      <c r="G53" s="3" t="s">
        <v>394</v>
      </c>
      <c r="H53" s="6" t="n">
        <v>46079</v>
      </c>
      <c r="I53" s="3" t="s">
        <v>395</v>
      </c>
      <c r="J53" s="0" t="n">
        <v>2.9</v>
      </c>
      <c r="K53" s="0" t="n">
        <v>3</v>
      </c>
      <c r="L53" s="4" t="n">
        <f aca="false">E53*J53*K53</f>
        <v>16193.571</v>
      </c>
      <c r="M53" s="4" t="n">
        <f aca="false">L53*1.18</f>
        <v>19108.41378</v>
      </c>
      <c r="N53" s="3" t="s">
        <v>36</v>
      </c>
    </row>
    <row r="54" customFormat="false" ht="15" hidden="false" customHeight="false" outlineLevel="0" collapsed="false">
      <c r="A54" s="0" t="s">
        <v>26</v>
      </c>
      <c r="B54" s="6" t="n">
        <v>46080</v>
      </c>
      <c r="C54" s="3" t="s">
        <v>396</v>
      </c>
      <c r="D54" s="0" t="n">
        <v>86</v>
      </c>
      <c r="E54" s="0" t="n">
        <v>136.87</v>
      </c>
      <c r="F54" s="6" t="n">
        <v>46077</v>
      </c>
      <c r="G54" s="3" t="s">
        <v>399</v>
      </c>
      <c r="H54" s="6" t="n">
        <v>46080</v>
      </c>
      <c r="I54" s="3" t="s">
        <v>400</v>
      </c>
      <c r="J54" s="0" t="n">
        <v>2.9</v>
      </c>
      <c r="K54" s="0" t="n">
        <v>2</v>
      </c>
      <c r="L54" s="4" t="n">
        <f aca="false">E54*J54*K54</f>
        <v>793.846</v>
      </c>
      <c r="M54" s="4" t="n">
        <f aca="false">L54*1.18</f>
        <v>936.73828</v>
      </c>
      <c r="N54" s="3" t="s">
        <v>36</v>
      </c>
    </row>
    <row r="55" customFormat="false" ht="15" hidden="false" customHeight="false" outlineLevel="0" collapsed="false">
      <c r="A55" s="0" t="s">
        <v>26</v>
      </c>
      <c r="B55" s="6" t="n">
        <v>46080</v>
      </c>
      <c r="C55" s="3" t="s">
        <v>401</v>
      </c>
      <c r="D55" s="0" t="n">
        <v>52</v>
      </c>
      <c r="E55" s="0" t="n">
        <v>1396.67</v>
      </c>
      <c r="F55" s="6" t="n">
        <v>46080</v>
      </c>
      <c r="G55" s="3" t="s">
        <v>405</v>
      </c>
      <c r="H55" s="6" t="n">
        <v>46080</v>
      </c>
      <c r="I55" s="3" t="s">
        <v>406</v>
      </c>
      <c r="J55" s="0" t="n">
        <v>2.9</v>
      </c>
      <c r="K55" s="0" t="n">
        <v>1</v>
      </c>
      <c r="L55" s="4" t="n">
        <f aca="false">E55*J55*K55</f>
        <v>4050.343</v>
      </c>
      <c r="M55" s="4" t="n">
        <f aca="false">L55*1.18</f>
        <v>4779.40474</v>
      </c>
      <c r="N55" s="3" t="s">
        <v>36</v>
      </c>
    </row>
    <row r="56" customFormat="false" ht="15" hidden="false" customHeight="false" outlineLevel="0" collapsed="false">
      <c r="A56" s="0" t="s">
        <v>53</v>
      </c>
      <c r="B56" s="6" t="n">
        <v>46080</v>
      </c>
      <c r="C56" s="3" t="s">
        <v>407</v>
      </c>
      <c r="D56" s="0" t="n">
        <v>121</v>
      </c>
      <c r="E56" s="0" t="n">
        <v>610.82</v>
      </c>
      <c r="F56" s="6" t="n">
        <v>46079</v>
      </c>
      <c r="G56" s="3" t="s">
        <v>410</v>
      </c>
      <c r="H56" s="6" t="n">
        <v>46080</v>
      </c>
      <c r="I56" s="3" t="s">
        <v>411</v>
      </c>
      <c r="J56" s="0" t="n">
        <v>2.9</v>
      </c>
      <c r="K56" s="0" t="n">
        <v>2</v>
      </c>
      <c r="L56" s="4" t="n">
        <f aca="false">E56*J56*K56</f>
        <v>3542.756</v>
      </c>
      <c r="M56" s="4" t="n">
        <f aca="false">L56*1.18</f>
        <v>4180.45208</v>
      </c>
      <c r="N56" s="3" t="s">
        <v>36</v>
      </c>
    </row>
    <row r="57" customFormat="false" ht="15" hidden="false" customHeight="false" outlineLevel="0" collapsed="false">
      <c r="A57" s="0" t="s">
        <v>53</v>
      </c>
      <c r="B57" s="6" t="n">
        <v>46080</v>
      </c>
      <c r="C57" s="3" t="s">
        <v>412</v>
      </c>
      <c r="D57" s="0" t="n">
        <v>185</v>
      </c>
      <c r="E57" s="0" t="n">
        <v>2382.48</v>
      </c>
      <c r="F57" s="6" t="n">
        <v>46078</v>
      </c>
      <c r="G57" s="3" t="s">
        <v>416</v>
      </c>
      <c r="H57" s="6" t="n">
        <v>46080</v>
      </c>
      <c r="I57" s="3" t="s">
        <v>417</v>
      </c>
      <c r="J57" s="0" t="n">
        <v>2.9</v>
      </c>
      <c r="K57" s="0" t="n">
        <v>3</v>
      </c>
      <c r="L57" s="4" t="n">
        <f aca="false">E57*J57*K57</f>
        <v>20727.576</v>
      </c>
      <c r="M57" s="4" t="n">
        <f aca="false">L57*1.18</f>
        <v>24458.53968</v>
      </c>
      <c r="N57" s="3" t="s">
        <v>36</v>
      </c>
    </row>
    <row r="58" customFormat="false" ht="15" hidden="false" customHeight="false" outlineLevel="0" collapsed="false">
      <c r="A58" s="0" t="s">
        <v>77</v>
      </c>
      <c r="B58" s="6" t="n">
        <v>46080</v>
      </c>
      <c r="C58" s="3" t="s">
        <v>418</v>
      </c>
      <c r="D58" s="0" t="n">
        <v>7</v>
      </c>
      <c r="E58" s="0" t="n">
        <v>1766</v>
      </c>
      <c r="F58" s="6" t="n">
        <v>46078</v>
      </c>
      <c r="G58" s="3" t="s">
        <v>422</v>
      </c>
      <c r="H58" s="6" t="n">
        <v>46080</v>
      </c>
      <c r="I58" s="3" t="s">
        <v>423</v>
      </c>
      <c r="J58" s="0" t="n">
        <v>4.9</v>
      </c>
      <c r="K58" s="0" t="n">
        <v>2</v>
      </c>
      <c r="L58" s="4" t="n">
        <f aca="false">E58*J58*K58</f>
        <v>17306.8</v>
      </c>
      <c r="M58" s="4" t="n">
        <f aca="false">L58*1.18</f>
        <v>20422.024</v>
      </c>
      <c r="N58" s="3" t="s">
        <v>101</v>
      </c>
    </row>
    <row r="59" customFormat="false" ht="15" hidden="false" customHeight="false" outlineLevel="0" collapsed="false">
      <c r="A59" s="0" t="s">
        <v>26</v>
      </c>
      <c r="B59" s="6" t="n">
        <v>46081</v>
      </c>
      <c r="C59" s="3" t="s">
        <v>430</v>
      </c>
      <c r="D59" s="0" t="n">
        <v>189</v>
      </c>
      <c r="E59" s="0" t="n">
        <v>2157.19</v>
      </c>
      <c r="F59" s="6" t="n">
        <v>46079</v>
      </c>
      <c r="G59" s="3" t="s">
        <v>318</v>
      </c>
      <c r="H59" s="6" t="n">
        <v>46081</v>
      </c>
      <c r="I59" s="3" t="s">
        <v>251</v>
      </c>
      <c r="J59" s="0" t="n">
        <v>2.9</v>
      </c>
      <c r="K59" s="0" t="n">
        <v>2</v>
      </c>
      <c r="L59" s="4" t="n">
        <f aca="false">E59*J59*K59</f>
        <v>12511.702</v>
      </c>
      <c r="M59" s="4" t="n">
        <f aca="false">L59*1.18</f>
        <v>14763.80836</v>
      </c>
      <c r="N59" s="3" t="s">
        <v>36</v>
      </c>
    </row>
    <row r="60" customFormat="false" ht="15" hidden="false" customHeight="false" outlineLevel="0" collapsed="false">
      <c r="A60" s="0" t="s">
        <v>26</v>
      </c>
      <c r="B60" s="6" t="n">
        <v>46081</v>
      </c>
      <c r="C60" s="3" t="s">
        <v>440</v>
      </c>
      <c r="D60" s="0" t="n">
        <v>45</v>
      </c>
      <c r="E60" s="0" t="n">
        <v>1101.17</v>
      </c>
      <c r="F60" s="6" t="n">
        <v>46079</v>
      </c>
      <c r="G60" s="3" t="s">
        <v>442</v>
      </c>
      <c r="H60" s="6" t="n">
        <v>46081</v>
      </c>
      <c r="I60" s="3" t="s">
        <v>443</v>
      </c>
      <c r="J60" s="0" t="n">
        <v>2.9</v>
      </c>
      <c r="K60" s="0" t="n">
        <v>1</v>
      </c>
      <c r="L60" s="4" t="n">
        <f aca="false">E60*J60*K60</f>
        <v>3193.393</v>
      </c>
      <c r="M60" s="4" t="n">
        <f aca="false">L60*1.18</f>
        <v>3768.20374</v>
      </c>
      <c r="N60" s="3" t="s">
        <v>36</v>
      </c>
    </row>
    <row r="61" customFormat="false" ht="15" hidden="false" customHeight="false" outlineLevel="0" collapsed="false">
      <c r="A61" s="0" t="s">
        <v>77</v>
      </c>
      <c r="B61" s="6" t="n">
        <v>46081</v>
      </c>
      <c r="C61" s="3" t="s">
        <v>455</v>
      </c>
      <c r="D61" s="0" t="n">
        <v>26</v>
      </c>
      <c r="E61" s="0" t="n">
        <v>1251.08</v>
      </c>
      <c r="F61" s="6" t="n">
        <v>46079</v>
      </c>
      <c r="G61" s="3" t="s">
        <v>459</v>
      </c>
      <c r="H61" s="6" t="n">
        <v>46081</v>
      </c>
      <c r="I61" s="3" t="s">
        <v>460</v>
      </c>
      <c r="J61" s="0" t="n">
        <v>2.9</v>
      </c>
      <c r="K61" s="0" t="n">
        <v>1</v>
      </c>
      <c r="L61" s="4" t="n">
        <f aca="false">E61*J61*K61</f>
        <v>3628.132</v>
      </c>
      <c r="M61" s="4" t="n">
        <f aca="false">L61*1.18</f>
        <v>4281.19576</v>
      </c>
      <c r="N61" s="3" t="s">
        <v>36</v>
      </c>
    </row>
    <row r="62" customFormat="false" ht="15" hidden="false" customHeight="false" outlineLevel="0" collapsed="false">
      <c r="A62" s="0" t="s">
        <v>77</v>
      </c>
      <c r="B62" s="6" t="n">
        <v>46081</v>
      </c>
      <c r="C62" s="3" t="s">
        <v>461</v>
      </c>
      <c r="D62" s="0" t="n">
        <v>196</v>
      </c>
      <c r="E62" s="0" t="n">
        <v>1456.97</v>
      </c>
      <c r="F62" s="6" t="n">
        <v>46081</v>
      </c>
      <c r="G62" s="3" t="s">
        <v>465</v>
      </c>
      <c r="H62" s="6" t="n">
        <v>46081</v>
      </c>
      <c r="I62" s="3" t="s">
        <v>466</v>
      </c>
      <c r="J62" s="0" t="n">
        <v>2.9</v>
      </c>
      <c r="K62" s="0" t="n">
        <v>4</v>
      </c>
      <c r="L62" s="4" t="n">
        <f aca="false">E62*J62*K62</f>
        <v>16900.852</v>
      </c>
      <c r="M62" s="4" t="n">
        <f aca="false">L62*1.18</f>
        <v>19943.00536</v>
      </c>
      <c r="N62" s="3" t="s">
        <v>36</v>
      </c>
    </row>
    <row r="63" customFormat="false" ht="15" hidden="false" customHeight="false" outlineLevel="0" collapsed="false">
      <c r="K63" s="7" t="s">
        <v>480</v>
      </c>
      <c r="L63" s="7" t="n">
        <f aca="false">SUM(L4:L62)</f>
        <v>639341.923</v>
      </c>
      <c r="M63" s="7" t="n">
        <f aca="false">SUM(M4:M62)</f>
        <v>754423.46914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487</v>
      </c>
    </row>
    <row r="3" customFormat="false" ht="15" hidden="false" customHeight="false" outlineLevel="0" collapsed="false">
      <c r="A3" s="1" t="s">
        <v>488</v>
      </c>
      <c r="B3" s="1" t="s">
        <v>36</v>
      </c>
      <c r="C3" s="1" t="s">
        <v>45</v>
      </c>
      <c r="D3" s="1" t="s">
        <v>489</v>
      </c>
      <c r="E3" s="1" t="s">
        <v>490</v>
      </c>
    </row>
    <row r="4" customFormat="false" ht="15" hidden="false" customHeight="false" outlineLevel="0" collapsed="false">
      <c r="A4" s="0" t="s">
        <v>491</v>
      </c>
      <c r="B4" s="0" t="n">
        <v>3.3</v>
      </c>
      <c r="C4" s="0" t="n">
        <v>5.3</v>
      </c>
      <c r="D4" s="0" t="n">
        <v>3.4</v>
      </c>
    </row>
    <row r="5" customFormat="false" ht="15" hidden="false" customHeight="false" outlineLevel="0" collapsed="false">
      <c r="A5" s="0" t="s">
        <v>492</v>
      </c>
      <c r="B5" s="0" t="n">
        <v>2.15</v>
      </c>
      <c r="C5" s="0" t="n">
        <v>2.15</v>
      </c>
      <c r="D5" s="0" t="n">
        <v>2.15</v>
      </c>
      <c r="E5" s="0" t="n">
        <v>2.15</v>
      </c>
    </row>
    <row r="6" customFormat="false" ht="15" hidden="false" customHeight="false" outlineLevel="0" collapsed="false">
      <c r="A6" s="0" t="s">
        <v>493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494</v>
      </c>
      <c r="B8" s="1" t="s">
        <v>23</v>
      </c>
    </row>
    <row r="9" customFormat="false" ht="15" hidden="false" customHeight="false" outlineLevel="0" collapsed="false">
      <c r="A9" s="0" t="s">
        <v>36</v>
      </c>
      <c r="B9" s="0" t="n">
        <v>2.9</v>
      </c>
    </row>
    <row r="10" customFormat="false" ht="15" hidden="false" customHeight="false" outlineLevel="0" collapsed="false">
      <c r="A10" s="0" t="s">
        <v>45</v>
      </c>
      <c r="B10" s="0" t="n">
        <v>2.9</v>
      </c>
    </row>
    <row r="11" customFormat="false" ht="15" hidden="false" customHeight="false" outlineLevel="0" collapsed="false">
      <c r="A11" s="0" t="s">
        <v>139</v>
      </c>
      <c r="B11" s="0" t="n">
        <v>2.4</v>
      </c>
    </row>
    <row r="12" customFormat="false" ht="15" hidden="false" customHeight="false" outlineLevel="0" collapsed="false">
      <c r="A12" s="0" t="s">
        <v>76</v>
      </c>
      <c r="B12" s="0" t="n">
        <v>4.9</v>
      </c>
    </row>
    <row r="13" customFormat="false" ht="15" hidden="false" customHeight="false" outlineLevel="0" collapsed="false">
      <c r="A13" s="0" t="s">
        <v>101</v>
      </c>
      <c r="B13" s="0" t="n">
        <v>4.9</v>
      </c>
    </row>
    <row r="14" customFormat="false" ht="15" hidden="false" customHeight="false" outlineLevel="0" collapsed="false">
      <c r="A14" s="0" t="s">
        <v>152</v>
      </c>
      <c r="B14" s="0" t="n">
        <v>11.5</v>
      </c>
    </row>
    <row r="15" customFormat="false" ht="15" hidden="false" customHeight="false" outlineLevel="0" collapsed="false">
      <c r="A15" s="0" t="s">
        <v>495</v>
      </c>
      <c r="B15" s="0" t="n">
        <v>11.5</v>
      </c>
    </row>
    <row r="16" customFormat="false" ht="15" hidden="false" customHeight="false" outlineLevel="0" collapsed="false">
      <c r="A16" s="0" t="s">
        <v>265</v>
      </c>
      <c r="B16" s="0" t="n">
        <v>4.9</v>
      </c>
    </row>
    <row r="17" customFormat="false" ht="15" hidden="false" customHeight="false" outlineLevel="0" collapsed="false">
      <c r="A17" s="0" t="s">
        <v>496</v>
      </c>
      <c r="B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